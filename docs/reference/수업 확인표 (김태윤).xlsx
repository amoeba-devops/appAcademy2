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.4" sheetId="1" r:id="rId5"/>
    <sheet state="visible" name="2026.3" sheetId="2" r:id="rId6"/>
    <sheet state="visible" name="2026.2" sheetId="3" r:id="rId7"/>
    <sheet state="visible" name="2026.1" sheetId="4" r:id="rId8"/>
    <sheet state="hidden" name="2025.12" sheetId="5" r:id="rId9"/>
    <sheet state="hidden" name="2025.11" sheetId="6" r:id="rId10"/>
    <sheet state="hidden" name="2025.10" sheetId="7" r:id="rId11"/>
    <sheet state="hidden" name="2025.9" sheetId="8" r:id="rId12"/>
    <sheet state="hidden" name="2025.8" sheetId="9" r:id="rId13"/>
    <sheet state="hidden" name="2025.7" sheetId="10" r:id="rId14"/>
    <sheet state="hidden" name="2025.6" sheetId="11" r:id="rId15"/>
    <sheet state="hidden" name="2025.5" sheetId="12" r:id="rId16"/>
    <sheet state="hidden" name="2025.4" sheetId="13" r:id="rId17"/>
    <sheet state="hidden" name="2025.3" sheetId="14" r:id="rId18"/>
    <sheet state="hidden" name="2025.2" sheetId="15" r:id="rId19"/>
  </sheets>
  <definedNames/>
  <calcPr/>
</workbook>
</file>

<file path=xl/sharedStrings.xml><?xml version="1.0" encoding="utf-8"?>
<sst xmlns="http://schemas.openxmlformats.org/spreadsheetml/2006/main" count="1031" uniqueCount="118">
  <si>
    <t>수업 진행</t>
  </si>
  <si>
    <t>초록색 표기</t>
  </si>
  <si>
    <t>수업 해당일 날짜를 표기하면 됩니다.</t>
  </si>
  <si>
    <t>수업 결강</t>
  </si>
  <si>
    <t>빨간색 표기</t>
  </si>
  <si>
    <t>비고란에 이유/보강 예정일 기입</t>
  </si>
  <si>
    <t>학생 이름</t>
  </si>
  <si>
    <t>1회차</t>
  </si>
  <si>
    <t>2회차</t>
  </si>
  <si>
    <t>3회차</t>
  </si>
  <si>
    <t>4회차</t>
  </si>
  <si>
    <t>5회차</t>
  </si>
  <si>
    <t>6회차</t>
  </si>
  <si>
    <t>7회차</t>
  </si>
  <si>
    <t>8회차</t>
  </si>
  <si>
    <t>9회차</t>
  </si>
  <si>
    <t>10회차</t>
  </si>
  <si>
    <t>11회차</t>
  </si>
  <si>
    <t>12회차</t>
  </si>
  <si>
    <t>13회차</t>
  </si>
  <si>
    <t>14회차</t>
  </si>
  <si>
    <t>15회차</t>
  </si>
  <si>
    <t>16회차</t>
  </si>
  <si>
    <t>보강 1회차</t>
  </si>
  <si>
    <t>보강 2회차</t>
  </si>
  <si>
    <t>보강 3회차</t>
  </si>
  <si>
    <t>시간 합계</t>
  </si>
  <si>
    <t>최종 금액</t>
  </si>
  <si>
    <t>김준수(sample)</t>
  </si>
  <si>
    <t>시간</t>
  </si>
  <si>
    <t>비고</t>
  </si>
  <si>
    <t>독감
12/9 보강 예정</t>
  </si>
  <si>
    <t>신입강사
OT</t>
  </si>
  <si>
    <t>가족여행
이월 예정</t>
  </si>
  <si>
    <t>구본의</t>
  </si>
  <si>
    <t>학생 사정 휴강
이월 예정</t>
  </si>
  <si>
    <t>선생님 사정 휴강
이월 예정</t>
  </si>
  <si>
    <t>정하율</t>
  </si>
  <si>
    <t>선생님 사정 휴강
보강 예정</t>
  </si>
  <si>
    <t>강소율</t>
  </si>
  <si>
    <t>강병찬</t>
  </si>
  <si>
    <t>이윤건 (대면)</t>
  </si>
  <si>
    <t>정윤아, 정윤지</t>
  </si>
  <si>
    <t>김하음</t>
  </si>
  <si>
    <t>김지환</t>
  </si>
  <si>
    <t>정수인</t>
  </si>
  <si>
    <t>총매출</t>
  </si>
  <si>
    <t>세후</t>
  </si>
  <si>
    <t>학생 사정 휴강
이월 완료</t>
  </si>
  <si>
    <t>학생 사정 휴강</t>
  </si>
  <si>
    <t>31일 수업을 보강</t>
  </si>
  <si>
    <t>김지유</t>
  </si>
  <si>
    <t>김하유</t>
  </si>
  <si>
    <t>문서준</t>
  </si>
  <si>
    <t>학생 사정 
휴강</t>
  </si>
  <si>
    <t>석예준, 석유준</t>
  </si>
  <si>
    <t>학생 사정 
당일휴강</t>
  </si>
  <si>
    <t>학생 병가 휴강</t>
  </si>
  <si>
    <t>조봉연</t>
  </si>
  <si>
    <t xml:space="preserve"> 휴강
</t>
  </si>
  <si>
    <t>정윤아 정윤지</t>
  </si>
  <si>
    <t>선생님 병가
보강 예정</t>
  </si>
  <si>
    <t>정수인 (대면)</t>
  </si>
  <si>
    <t>이세진</t>
  </si>
  <si>
    <t>선생님 출장
이월 예정</t>
  </si>
  <si>
    <t>크리스마스 휴강
보강 이월 예정</t>
  </si>
  <si>
    <t>이윤건 이윤후(대면)</t>
  </si>
  <si>
    <t>학생 당일 취소</t>
  </si>
  <si>
    <t>학생사정 휴강</t>
  </si>
  <si>
    <t>선생님 사정 휴강
1월로 이월</t>
  </si>
  <si>
    <t>김재범 (줌)</t>
  </si>
  <si>
    <t>김재범 (대면)</t>
  </si>
  <si>
    <t>이세진 (줌)</t>
  </si>
  <si>
    <t>선생님 출장
이월 완료</t>
  </si>
  <si>
    <t>선생님 사정 휴강
이월 완료</t>
  </si>
  <si>
    <t>이윤건 이윤후</t>
  </si>
  <si>
    <t xml:space="preserve">선생님 출장
</t>
  </si>
  <si>
    <t>컨설팅 준비 대체</t>
  </si>
  <si>
    <t>이윤건 이윤후(줌)</t>
  </si>
  <si>
    <t>학생 사정 휴강
당일 취소, 보강예정</t>
  </si>
  <si>
    <t>선생님 출장</t>
  </si>
  <si>
    <t>이도</t>
  </si>
  <si>
    <t>학생 사정
 당일 수업 취소</t>
  </si>
  <si>
    <t>학생사정 휴강
분할 이월 예정</t>
  </si>
  <si>
    <t>2인 대면수업</t>
  </si>
  <si>
    <t>휴강</t>
  </si>
  <si>
    <t>학생 사정 휴강 
당일 취소</t>
  </si>
  <si>
    <t>이인혜</t>
  </si>
  <si>
    <t>대면수업</t>
  </si>
  <si>
    <t>선생님 사정 휴강
10/1 보강 예정</t>
  </si>
  <si>
    <t>선생님 사정
이월 완료</t>
  </si>
  <si>
    <t>학생 병가
이월 완료</t>
  </si>
  <si>
    <t>최준혁</t>
  </si>
  <si>
    <t>병찬, 소율</t>
  </si>
  <si>
    <t>류이나</t>
  </si>
  <si>
    <t>학생 병가
보강 없음</t>
  </si>
  <si>
    <t>비대면수업</t>
  </si>
  <si>
    <t>줌</t>
  </si>
  <si>
    <t>선생님 사정</t>
  </si>
  <si>
    <t>선생님 사정
8/1 보강 예정</t>
  </si>
  <si>
    <t>학생 사정 휴강
8/4 보강 예정</t>
  </si>
  <si>
    <t>제이미</t>
  </si>
  <si>
    <t>선생님 사정
보강or이월 예정</t>
  </si>
  <si>
    <t>김민정</t>
  </si>
  <si>
    <t>선생님 사정 휴강
19일 보강 예정</t>
  </si>
  <si>
    <t xml:space="preserve">보강 </t>
  </si>
  <si>
    <t>학생 사정
6/27 수업 
일정 변경</t>
  </si>
  <si>
    <t>최종 수업일</t>
  </si>
  <si>
    <t>정윤아</t>
  </si>
  <si>
    <t>정윤지</t>
  </si>
  <si>
    <t>김규민</t>
  </si>
  <si>
    <t>4/19 16:30 진행</t>
  </si>
  <si>
    <t>문채영</t>
  </si>
  <si>
    <t>3/21 수업 보강</t>
  </si>
  <si>
    <t>이유빈</t>
  </si>
  <si>
    <t>학생 사정
이후 보강 완료</t>
  </si>
  <si>
    <t>학생 사정
4/4 보강</t>
  </si>
  <si>
    <t>이재인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</si>
</sst>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FF00"/>
      <name val="Arial"/>
      <scheme val="minor"/>
    </font>
    <font/>
    <font>
      <b/>
      <color rgb="FFFF0000"/>
      <name val="Arial"/>
      <scheme val="minor"/>
    </font>
    <font>
      <b/>
      <color theme="1"/>
      <name val="Arial"/>
    </font>
    <font>
      <color theme="1"/>
      <name val="Arial"/>
    </font>
    <font>
      <b/>
      <color rgb="FFFF0000"/>
      <name val="Arial"/>
    </font>
    <font>
      <b/>
      <color rgb="FF000000"/>
      <name val="Arial"/>
    </font>
    <font>
      <b/>
      <color rgb="FF000000"/>
      <name val="Arial"/>
      <scheme val="minor"/>
    </font>
    <font>
      <color rgb="FF000000"/>
      <name val="Arial"/>
    </font>
    <font>
      <b/>
      <color rgb="FF00FF01"/>
      <name val="Arial"/>
    </font>
    <font>
      <b/>
      <color rgb="FF00FF01"/>
      <name val="Arial"/>
      <scheme val="minor"/>
    </font>
    <font>
      <b/>
      <color rgb="FF00FF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3" fontId="6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0" fillId="5" fontId="6" numFmtId="0" xfId="0" applyAlignment="1" applyFill="1" applyFont="1">
      <alignment horizontal="center"/>
    </xf>
    <xf borderId="5" fillId="2" fontId="2" numFmtId="0" xfId="0" applyAlignment="1" applyBorder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1" fillId="6" fontId="3" numFmtId="164" xfId="0" applyAlignment="1" applyBorder="1" applyFont="1" applyNumberFormat="1">
      <alignment horizontal="center" readingOrder="0" vertical="center"/>
    </xf>
    <xf borderId="1" fillId="6" fontId="5" numFmtId="164" xfId="0" applyAlignment="1" applyBorder="1" applyFont="1" applyNumberForma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1" fillId="6" fontId="2" numFmtId="0" xfId="0" applyBorder="1" applyFont="1"/>
    <xf borderId="1" fillId="6" fontId="7" numFmtId="164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vertical="center"/>
    </xf>
    <xf borderId="0" fillId="0" fontId="7" numFmtId="0" xfId="0" applyAlignment="1" applyFont="1">
      <alignment vertical="bottom"/>
    </xf>
    <xf borderId="0" fillId="0" fontId="2" numFmtId="0" xfId="0" applyFont="1"/>
    <xf borderId="6" fillId="0" fontId="4" numFmtId="0" xfId="0" applyBorder="1" applyFont="1"/>
    <xf borderId="1" fillId="6" fontId="7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6" fontId="1" numFmtId="0" xfId="0" applyBorder="1" applyFont="1"/>
    <xf borderId="0" fillId="0" fontId="7" numFmtId="0" xfId="0" applyAlignment="1" applyFont="1">
      <alignment horizontal="right" readingOrder="0" vertical="bottom"/>
    </xf>
    <xf borderId="7" fillId="0" fontId="4" numFmtId="0" xfId="0" applyBorder="1" applyFont="1"/>
    <xf borderId="1" fillId="6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6" fontId="8" numFmtId="164" xfId="0" applyAlignment="1" applyBorder="1" applyFont="1" applyNumberFormat="1">
      <alignment horizontal="center" readingOrder="0" vertical="center"/>
    </xf>
    <xf borderId="1" fillId="6" fontId="9" numFmtId="164" xfId="0" applyAlignment="1" applyBorder="1" applyFont="1" applyNumberFormat="1">
      <alignment horizontal="center" readingOrder="0" vertical="center"/>
    </xf>
    <xf borderId="1" fillId="6" fontId="10" numFmtId="164" xfId="0" applyAlignment="1" applyBorder="1" applyFont="1" applyNumberFormat="1">
      <alignment horizontal="center" readingOrder="0" vertical="center"/>
    </xf>
    <xf borderId="1" fillId="0" fontId="2" numFmtId="0" xfId="0" applyBorder="1" applyFont="1"/>
    <xf borderId="1" fillId="0" fontId="7" numFmtId="164" xfId="0" applyAlignment="1" applyBorder="1" applyFont="1" applyNumberFormat="1">
      <alignment readingOrder="0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1" fillId="0" fontId="7" numFmtId="0" xfId="0" applyAlignment="1" applyBorder="1" applyFont="1">
      <alignment readingOrder="0" vertical="center"/>
    </xf>
    <xf borderId="0" fillId="0" fontId="7" numFmtId="0" xfId="0" applyAlignment="1" applyFont="1">
      <alignment horizontal="right" vertical="bottom"/>
    </xf>
    <xf borderId="1" fillId="0" fontId="1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2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0" fontId="7" numFmtId="164" xfId="0" applyAlignment="1" applyBorder="1" applyFont="1" applyNumberFormat="1">
      <alignment vertical="center"/>
    </xf>
    <xf borderId="1" fillId="0" fontId="9" numFmtId="16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6" fontId="6" numFmtId="164" xfId="0" applyAlignment="1" applyBorder="1" applyFont="1" applyNumberFormat="1">
      <alignment horizontal="center" vertical="center"/>
    </xf>
    <xf borderId="1" fillId="6" fontId="13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6" fontId="12" numFmtId="164" xfId="0" applyAlignment="1" applyBorder="1" applyFont="1" applyNumberFormat="1">
      <alignment horizontal="center" readingOrder="0" vertical="center"/>
    </xf>
    <xf borderId="1" fillId="0" fontId="8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6" fontId="14" numFmtId="164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1" fillId="7" fontId="1" numFmtId="0" xfId="0" applyBorder="1" applyFill="1" applyFont="1"/>
    <xf borderId="1" fillId="0" fontId="7" numFmtId="0" xfId="0" applyBorder="1" applyFont="1"/>
    <xf borderId="1" fillId="6" fontId="6" numFmtId="164" xfId="0" applyAlignment="1" applyBorder="1" applyFont="1" applyNumberFormat="1">
      <alignment horizontal="center" readingOrder="0" vertical="center"/>
    </xf>
    <xf borderId="1" fillId="6" fontId="11" numFmtId="0" xfId="0" applyAlignment="1" applyBorder="1" applyFont="1">
      <alignment horizontal="center" readingOrder="0" vertical="center"/>
    </xf>
    <xf borderId="1" fillId="0" fontId="14" numFmtId="164" xfId="0" applyAlignment="1" applyBorder="1" applyFont="1" applyNumberFormat="1">
      <alignment horizontal="center" readingOrder="0" vertical="center"/>
    </xf>
    <xf borderId="1" fillId="7" fontId="1" numFmtId="0" xfId="0" applyBorder="1" applyFont="1"/>
    <xf borderId="0" fillId="6" fontId="1" numFmtId="0" xfId="0" applyFont="1"/>
    <xf borderId="1" fillId="0" fontId="12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12" numFmtId="164" xfId="0" applyAlignment="1" applyBorder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horizontal="center" readingOrder="0" vertical="center"/>
    </xf>
    <xf borderId="1" fillId="0" fontId="14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1" fillId="0" fontId="13" numFmtId="164" xfId="0" applyAlignment="1" applyBorder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bottom"/>
    </xf>
    <xf borderId="1" fillId="8" fontId="6" numFmtId="164" xfId="0" applyAlignment="1" applyBorder="1" applyFill="1" applyFont="1" applyNumberFormat="1">
      <alignment horizontal="center" vertical="center"/>
    </xf>
    <xf borderId="1" fillId="8" fontId="7" numFmtId="0" xfId="0" applyAlignment="1" applyBorder="1" applyFont="1">
      <alignment vertical="center"/>
    </xf>
    <xf borderId="1" fillId="8" fontId="1" numFmtId="0" xfId="0" applyAlignment="1" applyBorder="1" applyFont="1">
      <alignment horizontal="center" vertical="center"/>
    </xf>
    <xf borderId="1" fillId="8" fontId="2" numFmtId="164" xfId="0" applyAlignment="1" applyBorder="1" applyFont="1" applyNumberFormat="1">
      <alignment horizontal="center" readingOrder="0" vertical="center"/>
    </xf>
    <xf borderId="1" fillId="0" fontId="10" numFmtId="164" xfId="0" applyAlignment="1" applyBorder="1" applyFont="1" applyNumberFormat="1">
      <alignment horizontal="center" readingOrder="0" vertical="center"/>
    </xf>
    <xf borderId="1" fillId="8" fontId="10" numFmtId="164" xfId="0" applyAlignment="1" applyBorder="1" applyFont="1" applyNumberFormat="1">
      <alignment horizontal="center" readingOrder="0" vertical="center"/>
    </xf>
    <xf borderId="1" fillId="8" fontId="1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vertical="center"/>
    </xf>
    <xf borderId="1" fillId="6" fontId="9" numFmtId="164" xfId="0" applyAlignment="1" applyBorder="1" applyFont="1" applyNumberFormat="1">
      <alignment horizontal="center" vertical="center"/>
    </xf>
    <xf borderId="1" fillId="7" fontId="1" numFmtId="3" xfId="0" applyAlignment="1" applyBorder="1" applyFont="1" applyNumberFormat="1">
      <alignment readingOrder="0"/>
    </xf>
    <xf borderId="1" fillId="7" fontId="1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13"/>
    <col customWidth="1" min="3" max="3" width="15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9" t="s">
        <v>23</v>
      </c>
      <c r="U5" s="9" t="s">
        <v>24</v>
      </c>
      <c r="V5" s="9" t="s">
        <v>25</v>
      </c>
      <c r="W5" s="10" t="s">
        <v>26</v>
      </c>
      <c r="X5" s="11" t="s">
        <v>27</v>
      </c>
    </row>
    <row r="6" ht="22.5" customHeight="1">
      <c r="A6" s="1"/>
      <c r="B6" s="12">
        <v>0.0</v>
      </c>
      <c r="C6" s="13" t="s">
        <v>28</v>
      </c>
      <c r="D6" s="14">
        <v>45628.0</v>
      </c>
      <c r="E6" s="14">
        <v>45631.0</v>
      </c>
      <c r="F6" s="15">
        <v>45634.0</v>
      </c>
      <c r="G6" s="14">
        <v>45641.0</v>
      </c>
      <c r="H6" s="14">
        <v>45644.0</v>
      </c>
      <c r="I6" s="14">
        <v>45646.0</v>
      </c>
      <c r="J6" s="14">
        <v>45647.0</v>
      </c>
      <c r="K6" s="15">
        <v>45649.0</v>
      </c>
      <c r="L6" s="16"/>
      <c r="M6" s="16"/>
      <c r="N6" s="17"/>
      <c r="O6" s="17"/>
      <c r="P6" s="18"/>
      <c r="Q6" s="19"/>
      <c r="R6" s="19"/>
      <c r="S6" s="19"/>
      <c r="T6" s="18">
        <v>46003.0</v>
      </c>
      <c r="U6" s="19"/>
      <c r="V6" s="19"/>
      <c r="W6" s="19"/>
      <c r="X6" s="20"/>
      <c r="Y6" s="21"/>
      <c r="Z6" s="21"/>
      <c r="AA6" s="21"/>
      <c r="AB6" s="21"/>
      <c r="AC6" s="21"/>
      <c r="AD6" s="21"/>
      <c r="AE6" s="21"/>
      <c r="AF6" s="21"/>
    </row>
    <row r="7" ht="33.75" customHeight="1">
      <c r="B7" s="22"/>
      <c r="C7" s="23" t="s">
        <v>29</v>
      </c>
      <c r="D7" s="24">
        <v>2.0</v>
      </c>
      <c r="E7" s="24">
        <v>1.5</v>
      </c>
      <c r="F7" s="23">
        <v>0.0</v>
      </c>
      <c r="G7" s="24">
        <v>1.5</v>
      </c>
      <c r="H7" s="23">
        <v>2.0</v>
      </c>
      <c r="I7" s="24">
        <v>1.0</v>
      </c>
      <c r="J7" s="24">
        <v>2.0</v>
      </c>
      <c r="K7" s="23">
        <v>0.0</v>
      </c>
      <c r="L7" s="25"/>
      <c r="M7" s="25"/>
      <c r="N7" s="26"/>
      <c r="O7" s="26"/>
      <c r="P7" s="24"/>
      <c r="Q7" s="19"/>
      <c r="R7" s="19"/>
      <c r="S7" s="24"/>
      <c r="T7" s="24">
        <v>2.0</v>
      </c>
      <c r="U7" s="19"/>
      <c r="V7" s="19"/>
      <c r="W7" s="24">
        <f>SUM(G7:V7)</f>
        <v>8.5</v>
      </c>
      <c r="X7" s="27">
        <v>0.0</v>
      </c>
    </row>
    <row r="8" ht="33.75" customHeight="1">
      <c r="B8" s="28"/>
      <c r="C8" s="29" t="s">
        <v>30</v>
      </c>
      <c r="D8" s="25"/>
      <c r="E8" s="25"/>
      <c r="F8" s="29" t="s">
        <v>31</v>
      </c>
      <c r="G8" s="25"/>
      <c r="H8" s="29" t="s">
        <v>32</v>
      </c>
      <c r="I8" s="25"/>
      <c r="J8" s="25"/>
      <c r="K8" s="29" t="s">
        <v>33</v>
      </c>
      <c r="L8" s="25"/>
      <c r="M8" s="25"/>
      <c r="N8" s="26"/>
      <c r="O8" s="26"/>
      <c r="P8" s="24"/>
      <c r="Q8" s="19"/>
      <c r="R8" s="19"/>
      <c r="S8" s="24"/>
      <c r="T8" s="24"/>
      <c r="U8" s="19"/>
      <c r="V8" s="19"/>
      <c r="W8" s="24"/>
      <c r="X8" s="20"/>
    </row>
    <row r="9" ht="22.5" customHeight="1">
      <c r="B9" s="12">
        <v>1.0</v>
      </c>
      <c r="C9" s="30" t="s">
        <v>34</v>
      </c>
      <c r="D9" s="31">
        <v>46114.0</v>
      </c>
      <c r="E9" s="32">
        <v>46118.0</v>
      </c>
      <c r="F9" s="32">
        <v>46121.0</v>
      </c>
      <c r="G9" s="32">
        <v>46125.0</v>
      </c>
      <c r="H9" s="31">
        <v>46128.0</v>
      </c>
      <c r="I9" s="32">
        <v>46132.0</v>
      </c>
      <c r="J9" s="32">
        <v>46135.0</v>
      </c>
      <c r="K9" s="32">
        <v>46139.0</v>
      </c>
      <c r="L9" s="32">
        <v>46142.0</v>
      </c>
      <c r="M9" s="33"/>
      <c r="N9" s="34"/>
      <c r="O9" s="34"/>
      <c r="P9" s="35"/>
      <c r="Q9" s="36"/>
      <c r="R9" s="36"/>
      <c r="S9" s="36"/>
      <c r="T9" s="36"/>
      <c r="U9" s="36"/>
      <c r="V9" s="36"/>
      <c r="W9" s="36"/>
      <c r="X9" s="20"/>
      <c r="Y9" s="21"/>
      <c r="Z9" s="21"/>
      <c r="AA9" s="21"/>
      <c r="AB9" s="21"/>
      <c r="AC9" s="21"/>
      <c r="AD9" s="21"/>
      <c r="AE9" s="21"/>
      <c r="AF9" s="21"/>
    </row>
    <row r="10" ht="22.5" customHeight="1">
      <c r="B10" s="22"/>
      <c r="C10" s="37" t="s">
        <v>29</v>
      </c>
      <c r="D10" s="38">
        <v>0.0</v>
      </c>
      <c r="E10" s="38">
        <v>1.0</v>
      </c>
      <c r="F10" s="38">
        <v>1.5</v>
      </c>
      <c r="G10" s="38">
        <v>1.0</v>
      </c>
      <c r="H10" s="38">
        <v>0.0</v>
      </c>
      <c r="I10" s="38"/>
      <c r="J10" s="38"/>
      <c r="K10" s="38"/>
      <c r="L10" s="38"/>
      <c r="M10" s="39"/>
      <c r="N10" s="40"/>
      <c r="O10" s="40"/>
      <c r="P10" s="36"/>
      <c r="Q10" s="36"/>
      <c r="R10" s="36"/>
      <c r="S10" s="41"/>
      <c r="T10" s="41"/>
      <c r="U10" s="41"/>
      <c r="V10" s="41"/>
      <c r="W10" s="41"/>
      <c r="X10" s="42">
        <f>W10*30000</f>
        <v>0</v>
      </c>
    </row>
    <row r="11" ht="30.75" customHeight="1">
      <c r="B11" s="28"/>
      <c r="C11" s="43" t="s">
        <v>30</v>
      </c>
      <c r="D11" s="38" t="s">
        <v>35</v>
      </c>
      <c r="E11" s="38"/>
      <c r="F11" s="44"/>
      <c r="G11" s="38"/>
      <c r="H11" s="38" t="s">
        <v>36</v>
      </c>
      <c r="I11" s="38"/>
      <c r="J11" s="45"/>
      <c r="K11" s="38"/>
      <c r="L11" s="38"/>
      <c r="M11" s="39"/>
      <c r="N11" s="40"/>
      <c r="O11" s="40"/>
      <c r="P11" s="36"/>
      <c r="Q11" s="36"/>
      <c r="R11" s="36"/>
      <c r="S11" s="36"/>
      <c r="T11" s="36"/>
      <c r="U11" s="36"/>
      <c r="V11" s="36"/>
      <c r="W11" s="36"/>
      <c r="X11" s="20"/>
    </row>
    <row r="12" ht="22.5" customHeight="1">
      <c r="B12" s="12">
        <v>2.0</v>
      </c>
      <c r="C12" s="30" t="s">
        <v>37</v>
      </c>
      <c r="D12" s="32">
        <v>46116.0</v>
      </c>
      <c r="E12" s="32">
        <v>46123.0</v>
      </c>
      <c r="F12" s="31">
        <v>46130.0</v>
      </c>
      <c r="G12" s="32">
        <v>46137.0</v>
      </c>
      <c r="H12" s="32"/>
      <c r="I12" s="32"/>
      <c r="J12" s="32"/>
      <c r="K12" s="32"/>
      <c r="L12" s="15"/>
      <c r="M12" s="33"/>
      <c r="N12" s="45"/>
      <c r="O12" s="34"/>
      <c r="P12" s="36"/>
      <c r="Q12" s="36"/>
      <c r="R12" s="36"/>
      <c r="S12" s="36"/>
      <c r="T12" s="36"/>
      <c r="U12" s="36"/>
      <c r="V12" s="36"/>
      <c r="W12" s="36"/>
      <c r="X12" s="42"/>
      <c r="Y12" s="21"/>
      <c r="Z12" s="21"/>
      <c r="AA12" s="21"/>
      <c r="AB12" s="21"/>
      <c r="AC12" s="21"/>
      <c r="AD12" s="21"/>
      <c r="AE12" s="21"/>
      <c r="AF12" s="21"/>
    </row>
    <row r="13" ht="22.5" customHeight="1">
      <c r="B13" s="22"/>
      <c r="C13" s="37" t="s">
        <v>29</v>
      </c>
      <c r="D13" s="38">
        <v>1.0</v>
      </c>
      <c r="E13" s="38">
        <v>1.0</v>
      </c>
      <c r="F13" s="38">
        <v>0.0</v>
      </c>
      <c r="G13" s="38"/>
      <c r="H13" s="38"/>
      <c r="I13" s="45"/>
      <c r="J13" s="45"/>
      <c r="K13" s="45"/>
      <c r="L13" s="38"/>
      <c r="M13" s="38"/>
      <c r="N13" s="38"/>
      <c r="O13" s="40"/>
      <c r="P13" s="36"/>
      <c r="Q13" s="36"/>
      <c r="R13" s="36"/>
      <c r="S13" s="36"/>
      <c r="T13" s="36"/>
      <c r="U13" s="36"/>
      <c r="V13" s="36"/>
      <c r="W13" s="41"/>
      <c r="X13" s="42">
        <f>W13*30000</f>
        <v>0</v>
      </c>
    </row>
    <row r="14" ht="37.5" customHeight="1">
      <c r="B14" s="28"/>
      <c r="C14" s="43" t="s">
        <v>30</v>
      </c>
      <c r="D14" s="45"/>
      <c r="E14" s="45"/>
      <c r="F14" s="38" t="s">
        <v>38</v>
      </c>
      <c r="G14" s="44"/>
      <c r="H14" s="45"/>
      <c r="I14" s="45"/>
      <c r="J14" s="45"/>
      <c r="K14" s="45"/>
      <c r="L14" s="38"/>
      <c r="M14" s="38"/>
      <c r="N14" s="40"/>
      <c r="O14" s="40"/>
      <c r="P14" s="36"/>
      <c r="Q14" s="36"/>
      <c r="R14" s="36"/>
      <c r="S14" s="36"/>
      <c r="T14" s="36"/>
      <c r="U14" s="36"/>
      <c r="V14" s="36"/>
      <c r="W14" s="36"/>
      <c r="X14" s="42"/>
    </row>
    <row r="15" ht="22.5" customHeight="1">
      <c r="B15" s="12">
        <v>3.0</v>
      </c>
      <c r="C15" s="30" t="s">
        <v>39</v>
      </c>
      <c r="D15" s="32">
        <v>46118.0</v>
      </c>
      <c r="E15" s="32">
        <v>46120.0</v>
      </c>
      <c r="F15" s="32">
        <v>46127.0</v>
      </c>
      <c r="G15" s="32">
        <v>46132.0</v>
      </c>
      <c r="H15" s="32">
        <v>46134.0</v>
      </c>
      <c r="I15" s="32">
        <v>46139.0</v>
      </c>
      <c r="J15" s="32">
        <v>46141.0</v>
      </c>
      <c r="K15" s="32"/>
      <c r="L15" s="46"/>
      <c r="M15" s="46"/>
      <c r="N15" s="47"/>
      <c r="O15" s="47"/>
      <c r="P15" s="36"/>
      <c r="Q15" s="36"/>
      <c r="R15" s="36"/>
      <c r="S15" s="36"/>
      <c r="T15" s="36"/>
      <c r="U15" s="36"/>
      <c r="V15" s="36"/>
      <c r="W15" s="36"/>
      <c r="X15" s="20"/>
      <c r="Y15" s="21"/>
      <c r="Z15" s="21"/>
      <c r="AA15" s="21"/>
      <c r="AB15" s="21"/>
      <c r="AC15" s="21"/>
      <c r="AD15" s="21"/>
      <c r="AE15" s="21"/>
      <c r="AF15" s="21"/>
    </row>
    <row r="16" ht="22.5" customHeight="1">
      <c r="B16" s="22"/>
      <c r="C16" s="43" t="s">
        <v>29</v>
      </c>
      <c r="D16" s="38">
        <v>1.0</v>
      </c>
      <c r="E16" s="38">
        <v>1.0</v>
      </c>
      <c r="F16" s="38">
        <v>1.0</v>
      </c>
      <c r="G16" s="38"/>
      <c r="H16" s="38"/>
      <c r="I16" s="38"/>
      <c r="J16" s="38"/>
      <c r="K16" s="38"/>
      <c r="L16" s="43"/>
      <c r="M16" s="39"/>
      <c r="N16" s="48"/>
      <c r="O16" s="48"/>
      <c r="P16" s="49"/>
      <c r="Q16" s="49"/>
      <c r="R16" s="49"/>
      <c r="S16" s="36"/>
      <c r="T16" s="36"/>
      <c r="U16" s="36"/>
      <c r="V16" s="36"/>
      <c r="W16" s="41"/>
      <c r="X16" s="42">
        <f>W16*30000</f>
        <v>0</v>
      </c>
    </row>
    <row r="17" ht="36.0" customHeight="1">
      <c r="B17" s="28"/>
      <c r="C17" s="43" t="s">
        <v>30</v>
      </c>
      <c r="D17" s="44"/>
      <c r="E17" s="44"/>
      <c r="F17" s="45"/>
      <c r="G17" s="38"/>
      <c r="H17" s="45"/>
      <c r="I17" s="38"/>
      <c r="J17" s="38"/>
      <c r="K17" s="38"/>
      <c r="L17" s="39"/>
      <c r="M17" s="39"/>
      <c r="N17" s="48"/>
      <c r="O17" s="48"/>
      <c r="P17" s="49"/>
      <c r="Q17" s="49"/>
      <c r="R17" s="49"/>
      <c r="S17" s="36"/>
      <c r="T17" s="36"/>
      <c r="U17" s="36"/>
      <c r="V17" s="36"/>
      <c r="W17" s="36"/>
      <c r="X17" s="42"/>
    </row>
    <row r="18" ht="22.5" customHeight="1">
      <c r="B18" s="12">
        <v>4.0</v>
      </c>
      <c r="C18" s="30" t="s">
        <v>40</v>
      </c>
      <c r="D18" s="32">
        <v>46119.0</v>
      </c>
      <c r="E18" s="32">
        <v>46121.0</v>
      </c>
      <c r="F18" s="32">
        <v>46126.0</v>
      </c>
      <c r="G18" s="31">
        <v>46128.0</v>
      </c>
      <c r="H18" s="32">
        <v>46133.0</v>
      </c>
      <c r="I18" s="32">
        <v>46135.0</v>
      </c>
      <c r="J18" s="32">
        <v>46140.0</v>
      </c>
      <c r="K18" s="32">
        <v>46142.0</v>
      </c>
      <c r="L18" s="32"/>
      <c r="M18" s="50"/>
      <c r="N18" s="45"/>
      <c r="O18" s="47"/>
      <c r="P18" s="49"/>
      <c r="Q18" s="49"/>
      <c r="R18" s="49"/>
      <c r="S18" s="36"/>
      <c r="T18" s="36"/>
      <c r="U18" s="36"/>
      <c r="V18" s="36"/>
      <c r="W18" s="36"/>
      <c r="X18" s="20"/>
      <c r="Y18" s="21"/>
      <c r="Z18" s="21"/>
      <c r="AA18" s="21"/>
      <c r="AB18" s="21"/>
      <c r="AC18" s="21"/>
      <c r="AD18" s="21"/>
      <c r="AE18" s="21"/>
      <c r="AF18" s="21"/>
    </row>
    <row r="19" ht="22.5" customHeight="1">
      <c r="B19" s="22"/>
      <c r="C19" s="43" t="s">
        <v>29</v>
      </c>
      <c r="D19" s="38">
        <v>1.0</v>
      </c>
      <c r="E19" s="38">
        <v>1.0</v>
      </c>
      <c r="F19" s="38">
        <v>1.0</v>
      </c>
      <c r="G19" s="38"/>
      <c r="H19" s="38"/>
      <c r="I19" s="38"/>
      <c r="J19" s="51"/>
      <c r="K19" s="38"/>
      <c r="L19" s="43"/>
      <c r="M19" s="39"/>
      <c r="N19" s="48"/>
      <c r="O19" s="48"/>
      <c r="P19" s="49"/>
      <c r="Q19" s="49"/>
      <c r="R19" s="49"/>
      <c r="S19" s="36"/>
      <c r="T19" s="36"/>
      <c r="U19" s="36"/>
      <c r="V19" s="36"/>
      <c r="W19" s="41"/>
      <c r="X19" s="42">
        <f>W19*30000</f>
        <v>0</v>
      </c>
    </row>
    <row r="20" ht="30.75" customHeight="1">
      <c r="B20" s="28"/>
      <c r="C20" s="43" t="s">
        <v>30</v>
      </c>
      <c r="D20" s="38"/>
      <c r="E20" s="38"/>
      <c r="F20" s="45"/>
      <c r="G20" s="38" t="s">
        <v>36</v>
      </c>
      <c r="H20" s="52"/>
      <c r="I20" s="38"/>
      <c r="J20" s="38"/>
      <c r="K20" s="53"/>
      <c r="L20" s="39"/>
      <c r="M20" s="39"/>
      <c r="N20" s="48"/>
      <c r="O20" s="48"/>
      <c r="P20" s="49"/>
      <c r="Q20" s="49"/>
      <c r="R20" s="49"/>
      <c r="S20" s="36"/>
      <c r="T20" s="36"/>
      <c r="U20" s="36"/>
      <c r="V20" s="36"/>
      <c r="W20" s="36"/>
      <c r="X20" s="42"/>
    </row>
    <row r="21" ht="22.5" customHeight="1">
      <c r="B21" s="12">
        <v>5.0</v>
      </c>
      <c r="C21" s="54" t="s">
        <v>41</v>
      </c>
      <c r="D21" s="32">
        <v>46113.0</v>
      </c>
      <c r="E21" s="32">
        <v>46115.0</v>
      </c>
      <c r="F21" s="32">
        <v>46119.0</v>
      </c>
      <c r="G21" s="32">
        <v>46120.0</v>
      </c>
      <c r="H21" s="32">
        <v>46122.0</v>
      </c>
      <c r="I21" s="32">
        <v>46126.0</v>
      </c>
      <c r="J21" s="32">
        <v>46127.0</v>
      </c>
      <c r="K21" s="32">
        <v>46129.0</v>
      </c>
      <c r="L21" s="32">
        <v>46133.0</v>
      </c>
      <c r="M21" s="32">
        <v>46134.0</v>
      </c>
      <c r="N21" s="32">
        <v>46136.0</v>
      </c>
      <c r="O21" s="32">
        <v>46140.0</v>
      </c>
      <c r="P21" s="32">
        <v>46141.0</v>
      </c>
      <c r="Q21" s="32"/>
      <c r="R21" s="36"/>
      <c r="S21" s="36"/>
      <c r="T21" s="36"/>
      <c r="U21" s="36"/>
      <c r="V21" s="36"/>
      <c r="W21" s="36"/>
      <c r="X21" s="42"/>
      <c r="Y21" s="21"/>
      <c r="Z21" s="21"/>
      <c r="AA21" s="21"/>
      <c r="AB21" s="21"/>
      <c r="AC21" s="21"/>
      <c r="AD21" s="21"/>
      <c r="AE21" s="21"/>
      <c r="AF21" s="21"/>
    </row>
    <row r="22" ht="22.5" customHeight="1">
      <c r="B22" s="22"/>
      <c r="C22" s="37" t="s">
        <v>29</v>
      </c>
      <c r="D22" s="38">
        <v>2.0</v>
      </c>
      <c r="E22" s="38">
        <v>2.0</v>
      </c>
      <c r="F22" s="38">
        <v>2.0</v>
      </c>
      <c r="G22" s="38">
        <v>2.0</v>
      </c>
      <c r="H22" s="38">
        <v>2.0</v>
      </c>
      <c r="I22" s="38">
        <v>2.0</v>
      </c>
      <c r="J22" s="43">
        <v>2.0</v>
      </c>
      <c r="K22" s="38">
        <v>2.0</v>
      </c>
      <c r="L22" s="38"/>
      <c r="M22" s="43"/>
      <c r="N22" s="43"/>
      <c r="O22" s="43"/>
      <c r="P22" s="43"/>
      <c r="Q22" s="41"/>
      <c r="R22" s="36"/>
      <c r="S22" s="36"/>
      <c r="T22" s="36"/>
      <c r="U22" s="36"/>
      <c r="V22" s="36"/>
      <c r="W22" s="41"/>
      <c r="X22" s="42">
        <f>W22*30000</f>
        <v>0</v>
      </c>
    </row>
    <row r="23" ht="30.0" customHeight="1">
      <c r="B23" s="28"/>
      <c r="C23" s="37" t="s">
        <v>30</v>
      </c>
      <c r="D23" s="38"/>
      <c r="E23" s="38"/>
      <c r="F23" s="38"/>
      <c r="G23" s="38"/>
      <c r="H23" s="38"/>
      <c r="I23" s="55"/>
      <c r="J23" s="55"/>
      <c r="K23" s="38"/>
      <c r="L23" s="39"/>
      <c r="M23" s="39"/>
      <c r="N23" s="48"/>
      <c r="O23" s="48"/>
      <c r="P23" s="36"/>
      <c r="Q23" s="36"/>
      <c r="R23" s="36"/>
      <c r="S23" s="36"/>
      <c r="T23" s="36"/>
      <c r="U23" s="36"/>
      <c r="V23" s="36"/>
      <c r="W23" s="36"/>
      <c r="X23" s="42"/>
    </row>
    <row r="24" ht="22.5" customHeight="1">
      <c r="B24" s="12">
        <v>6.0</v>
      </c>
      <c r="C24" s="30" t="s">
        <v>42</v>
      </c>
      <c r="D24" s="32">
        <v>46114.0</v>
      </c>
      <c r="E24" s="32">
        <v>46121.0</v>
      </c>
      <c r="F24" s="32">
        <v>46128.0</v>
      </c>
      <c r="G24" s="32">
        <v>46135.0</v>
      </c>
      <c r="H24" s="32">
        <v>46142.0</v>
      </c>
      <c r="I24" s="56"/>
      <c r="J24" s="56"/>
      <c r="K24" s="56"/>
      <c r="L24" s="32"/>
      <c r="M24" s="57"/>
      <c r="N24" s="57"/>
      <c r="O24" s="57"/>
      <c r="P24" s="57"/>
      <c r="Q24" s="50"/>
      <c r="R24" s="45"/>
      <c r="S24" s="41"/>
      <c r="T24" s="41"/>
      <c r="U24" s="41"/>
      <c r="V24" s="41"/>
      <c r="W24" s="41"/>
      <c r="X24" s="58"/>
      <c r="Y24" s="59"/>
      <c r="Z24" s="59"/>
      <c r="AA24" s="59"/>
      <c r="AB24" s="59"/>
      <c r="AC24" s="59"/>
      <c r="AD24" s="59"/>
      <c r="AE24" s="59"/>
      <c r="AF24" s="59"/>
    </row>
    <row r="25" ht="22.5" customHeight="1">
      <c r="B25" s="22"/>
      <c r="C25" s="37" t="s">
        <v>29</v>
      </c>
      <c r="D25" s="52">
        <v>2.0</v>
      </c>
      <c r="E25" s="52">
        <v>2.0</v>
      </c>
      <c r="F25" s="52">
        <v>2.0</v>
      </c>
      <c r="G25" s="52"/>
      <c r="H25" s="52"/>
      <c r="I25" s="51"/>
      <c r="J25" s="54"/>
      <c r="K25" s="54"/>
      <c r="L25" s="38"/>
      <c r="M25" s="43"/>
      <c r="N25" s="43"/>
      <c r="O25" s="43"/>
      <c r="P25" s="43"/>
      <c r="Q25" s="52"/>
      <c r="R25" s="36"/>
      <c r="S25" s="41"/>
      <c r="T25" s="41"/>
      <c r="U25" s="41"/>
      <c r="V25" s="41"/>
      <c r="W25" s="41"/>
      <c r="X25" s="42">
        <f>W25*55000</f>
        <v>0</v>
      </c>
      <c r="Y25" s="59"/>
      <c r="Z25" s="60"/>
      <c r="AA25" s="59"/>
      <c r="AB25" s="59"/>
      <c r="AC25" s="59"/>
      <c r="AD25" s="59"/>
      <c r="AE25" s="59"/>
      <c r="AF25" s="59"/>
    </row>
    <row r="26" ht="27.0" customHeight="1">
      <c r="B26" s="28"/>
      <c r="C26" s="37" t="s">
        <v>30</v>
      </c>
      <c r="D26" s="38"/>
      <c r="E26" s="54"/>
      <c r="F26" s="55"/>
      <c r="G26" s="55"/>
      <c r="H26" s="55"/>
      <c r="I26" s="52"/>
      <c r="J26" s="55"/>
      <c r="K26" s="55"/>
      <c r="L26" s="38"/>
      <c r="M26" s="55"/>
      <c r="N26" s="38"/>
      <c r="O26" s="38"/>
      <c r="P26" s="55"/>
      <c r="Q26" s="38"/>
      <c r="R26" s="36"/>
      <c r="S26" s="36"/>
      <c r="T26" s="36"/>
      <c r="U26" s="36"/>
      <c r="V26" s="36"/>
      <c r="W26" s="36"/>
      <c r="X26" s="58"/>
      <c r="Y26" s="61"/>
      <c r="Z26" s="61"/>
      <c r="AA26" s="61"/>
      <c r="AB26" s="61"/>
      <c r="AC26" s="61"/>
      <c r="AD26" s="61"/>
      <c r="AE26" s="61"/>
      <c r="AF26" s="61"/>
    </row>
    <row r="27" ht="20.25" customHeight="1">
      <c r="B27" s="12">
        <v>7.0</v>
      </c>
      <c r="C27" s="54" t="s">
        <v>43</v>
      </c>
      <c r="D27" s="32">
        <v>46114.0</v>
      </c>
      <c r="E27" s="32">
        <v>46121.0</v>
      </c>
      <c r="F27" s="32">
        <v>46128.0</v>
      </c>
      <c r="G27" s="32">
        <v>46135.0</v>
      </c>
      <c r="H27" s="32">
        <v>46142.0</v>
      </c>
      <c r="I27" s="62"/>
      <c r="J27" s="33"/>
      <c r="K27" s="33"/>
      <c r="L27" s="56"/>
      <c r="M27" s="56"/>
      <c r="N27" s="63"/>
      <c r="O27" s="55"/>
      <c r="P27" s="55"/>
      <c r="Q27" s="44"/>
      <c r="R27" s="36"/>
      <c r="S27" s="36"/>
      <c r="T27" s="36"/>
      <c r="U27" s="36"/>
      <c r="V27" s="36"/>
      <c r="W27" s="36"/>
      <c r="X27" s="58"/>
      <c r="Y27" s="61"/>
      <c r="Z27" s="61"/>
      <c r="AA27" s="61"/>
      <c r="AB27" s="61"/>
      <c r="AC27" s="61"/>
      <c r="AD27" s="61"/>
      <c r="AE27" s="61"/>
      <c r="AF27" s="61"/>
    </row>
    <row r="28" ht="20.25" customHeight="1">
      <c r="B28" s="22"/>
      <c r="C28" s="37" t="s">
        <v>29</v>
      </c>
      <c r="D28" s="38">
        <v>1.0</v>
      </c>
      <c r="E28" s="38">
        <v>1.0</v>
      </c>
      <c r="F28" s="38">
        <v>1.5</v>
      </c>
      <c r="G28" s="38"/>
      <c r="H28" s="38"/>
      <c r="I28" s="38"/>
      <c r="J28" s="38"/>
      <c r="K28" s="51"/>
      <c r="L28" s="54"/>
      <c r="M28" s="51"/>
      <c r="N28" s="51"/>
      <c r="O28" s="55"/>
      <c r="P28" s="55"/>
      <c r="Q28" s="44"/>
      <c r="R28" s="36"/>
      <c r="S28" s="36"/>
      <c r="T28" s="36"/>
      <c r="U28" s="36"/>
      <c r="V28" s="36"/>
      <c r="W28" s="36"/>
      <c r="X28" s="58"/>
      <c r="Y28" s="61"/>
      <c r="Z28" s="61"/>
      <c r="AA28" s="61"/>
      <c r="AB28" s="61"/>
      <c r="AC28" s="61"/>
      <c r="AD28" s="61"/>
      <c r="AE28" s="61"/>
      <c r="AF28" s="61"/>
    </row>
    <row r="29" ht="20.25" customHeight="1">
      <c r="B29" s="28"/>
      <c r="C29" s="37" t="s">
        <v>30</v>
      </c>
      <c r="D29" s="38"/>
      <c r="E29" s="44"/>
      <c r="F29" s="44"/>
      <c r="G29" s="45"/>
      <c r="H29" s="38"/>
      <c r="I29" s="45"/>
      <c r="J29" s="38"/>
      <c r="K29" s="38"/>
      <c r="L29" s="55"/>
      <c r="M29" s="38"/>
      <c r="N29" s="38"/>
      <c r="O29" s="55"/>
      <c r="P29" s="55"/>
      <c r="Q29" s="44"/>
      <c r="R29" s="36"/>
      <c r="S29" s="36"/>
      <c r="T29" s="36"/>
      <c r="U29" s="36"/>
      <c r="V29" s="36"/>
      <c r="W29" s="36"/>
      <c r="X29" s="58"/>
      <c r="Y29" s="61"/>
      <c r="Z29" s="61"/>
      <c r="AA29" s="61"/>
      <c r="AB29" s="61"/>
      <c r="AC29" s="61"/>
      <c r="AD29" s="61"/>
      <c r="AE29" s="61"/>
      <c r="AF29" s="61"/>
    </row>
    <row r="30" ht="22.5" customHeight="1">
      <c r="B30" s="12">
        <v>8.0</v>
      </c>
      <c r="C30" s="54" t="s">
        <v>44</v>
      </c>
      <c r="D30" s="32">
        <v>46119.0</v>
      </c>
      <c r="E30" s="32">
        <v>46122.0</v>
      </c>
      <c r="F30" s="32">
        <v>46126.0</v>
      </c>
      <c r="G30" s="32">
        <v>46129.0</v>
      </c>
      <c r="H30" s="32">
        <v>46133.0</v>
      </c>
      <c r="I30" s="32">
        <v>46136.0</v>
      </c>
      <c r="J30" s="32">
        <v>46140.0</v>
      </c>
      <c r="K30" s="32"/>
      <c r="L30" s="62"/>
      <c r="M30" s="45"/>
      <c r="N30" s="45"/>
      <c r="O30" s="45"/>
      <c r="P30" s="45"/>
      <c r="Q30" s="36"/>
      <c r="R30" s="36"/>
      <c r="S30" s="36"/>
      <c r="T30" s="36"/>
      <c r="U30" s="36"/>
      <c r="V30" s="36"/>
      <c r="W30" s="36"/>
      <c r="X30" s="42"/>
      <c r="Y30" s="21"/>
      <c r="Z30" s="21"/>
      <c r="AA30" s="21"/>
      <c r="AB30" s="21"/>
      <c r="AC30" s="21"/>
      <c r="AD30" s="21"/>
      <c r="AE30" s="21"/>
      <c r="AF30" s="21"/>
    </row>
    <row r="31" ht="22.5" customHeight="1">
      <c r="B31" s="22"/>
      <c r="C31" s="37" t="s">
        <v>29</v>
      </c>
      <c r="D31" s="38">
        <v>1.0</v>
      </c>
      <c r="E31" s="38">
        <v>1.0</v>
      </c>
      <c r="F31" s="38">
        <v>1.0</v>
      </c>
      <c r="G31" s="38">
        <v>1.0</v>
      </c>
      <c r="H31" s="38"/>
      <c r="I31" s="44"/>
      <c r="J31" s="43"/>
      <c r="K31" s="43"/>
      <c r="L31" s="43"/>
      <c r="M31" s="64"/>
      <c r="N31" s="34"/>
      <c r="O31" s="34"/>
      <c r="P31" s="36"/>
      <c r="Q31" s="36"/>
      <c r="R31" s="36"/>
      <c r="S31" s="36"/>
      <c r="T31" s="36"/>
      <c r="U31" s="36"/>
      <c r="V31" s="36"/>
      <c r="W31" s="41"/>
      <c r="X31" s="42">
        <f>W31*30000</f>
        <v>0</v>
      </c>
      <c r="Y31" s="21"/>
      <c r="Z31" s="21"/>
      <c r="AA31" s="21"/>
      <c r="AB31" s="21"/>
      <c r="AC31" s="21"/>
      <c r="AD31" s="21"/>
      <c r="AE31" s="21"/>
      <c r="AF31" s="21"/>
    </row>
    <row r="32" ht="29.25" customHeight="1">
      <c r="B32" s="28"/>
      <c r="C32" s="37" t="s">
        <v>30</v>
      </c>
      <c r="D32" s="45"/>
      <c r="E32" s="50"/>
      <c r="F32" s="50"/>
      <c r="G32" s="50"/>
      <c r="H32" s="44"/>
      <c r="I32" s="44"/>
      <c r="J32" s="39"/>
      <c r="K32" s="39"/>
      <c r="L32" s="43"/>
      <c r="M32" s="39"/>
      <c r="N32" s="40"/>
      <c r="O32" s="40"/>
      <c r="P32" s="36"/>
      <c r="Q32" s="36"/>
      <c r="R32" s="36"/>
      <c r="S32" s="36"/>
      <c r="T32" s="36"/>
      <c r="U32" s="36"/>
      <c r="V32" s="36"/>
      <c r="W32" s="36"/>
      <c r="X32" s="42"/>
    </row>
    <row r="33" ht="21.75" customHeight="1">
      <c r="A33" s="1"/>
      <c r="B33" s="12">
        <v>9.0</v>
      </c>
      <c r="C33" s="30" t="s">
        <v>45</v>
      </c>
      <c r="D33" s="32">
        <v>46127.0</v>
      </c>
      <c r="E33" s="32">
        <v>46134.0</v>
      </c>
      <c r="F33" s="32">
        <v>46141.0</v>
      </c>
      <c r="G33" s="32"/>
      <c r="H33" s="62"/>
      <c r="I33" s="62"/>
      <c r="J33" s="62"/>
      <c r="K33" s="62"/>
      <c r="L33" s="62"/>
      <c r="M33" s="32"/>
      <c r="N33" s="32"/>
      <c r="O33" s="32"/>
      <c r="P33" s="32"/>
      <c r="Q33" s="36"/>
      <c r="R33" s="36"/>
      <c r="S33" s="36"/>
      <c r="T33" s="36"/>
      <c r="U33" s="36"/>
      <c r="V33" s="36"/>
      <c r="W33" s="36"/>
      <c r="X33" s="42"/>
    </row>
    <row r="34" ht="21.75" customHeight="1">
      <c r="A34" s="1"/>
      <c r="B34" s="22"/>
      <c r="C34" s="37" t="s">
        <v>29</v>
      </c>
      <c r="D34" s="51">
        <v>1.0</v>
      </c>
      <c r="E34" s="51"/>
      <c r="F34" s="51"/>
      <c r="G34" s="44"/>
      <c r="H34" s="44"/>
      <c r="I34" s="44"/>
      <c r="J34" s="43"/>
      <c r="K34" s="43"/>
      <c r="L34" s="43"/>
      <c r="M34" s="43"/>
      <c r="N34" s="40"/>
      <c r="O34" s="40"/>
      <c r="P34" s="36"/>
      <c r="Q34" s="36"/>
      <c r="R34" s="36"/>
      <c r="S34" s="36"/>
      <c r="T34" s="36"/>
      <c r="U34" s="36"/>
      <c r="V34" s="36"/>
      <c r="W34" s="41"/>
      <c r="X34" s="42">
        <f>W34*30000</f>
        <v>0</v>
      </c>
    </row>
    <row r="35" ht="29.25" customHeight="1">
      <c r="A35" s="1"/>
      <c r="B35" s="28"/>
      <c r="C35" s="37" t="s">
        <v>30</v>
      </c>
      <c r="D35" s="45"/>
      <c r="E35" s="51"/>
      <c r="F35" s="50"/>
      <c r="G35" s="50"/>
      <c r="H35" s="44"/>
      <c r="I35" s="44"/>
      <c r="J35" s="39"/>
      <c r="K35" s="39"/>
      <c r="L35" s="39"/>
      <c r="M35" s="39"/>
      <c r="N35" s="40"/>
      <c r="O35" s="40"/>
      <c r="P35" s="36"/>
      <c r="Q35" s="36"/>
      <c r="R35" s="36"/>
      <c r="S35" s="36"/>
      <c r="T35" s="36"/>
      <c r="U35" s="36"/>
      <c r="V35" s="36"/>
      <c r="W35" s="36"/>
      <c r="X35" s="42"/>
    </row>
    <row r="36" ht="21.75" customHeight="1">
      <c r="A36" s="1"/>
      <c r="B36" s="12">
        <v>10.0</v>
      </c>
      <c r="C36" s="30"/>
      <c r="D36" s="62"/>
      <c r="E36" s="62"/>
      <c r="F36" s="62"/>
      <c r="G36" s="65"/>
      <c r="H36" s="62"/>
      <c r="I36" s="62"/>
      <c r="J36" s="62"/>
      <c r="K36" s="62"/>
      <c r="L36" s="62"/>
      <c r="M36" s="32"/>
      <c r="N36" s="40"/>
      <c r="O36" s="40"/>
      <c r="P36" s="36"/>
      <c r="Q36" s="36"/>
      <c r="R36" s="36"/>
      <c r="S36" s="36"/>
      <c r="T36" s="36"/>
      <c r="U36" s="36"/>
      <c r="V36" s="36"/>
      <c r="W36" s="36"/>
      <c r="X36" s="42"/>
    </row>
    <row r="37" ht="21.75" customHeight="1">
      <c r="A37" s="1"/>
      <c r="B37" s="22"/>
      <c r="C37" s="37"/>
      <c r="D37" s="51"/>
      <c r="E37" s="51"/>
      <c r="F37" s="51"/>
      <c r="G37" s="44"/>
      <c r="H37" s="44"/>
      <c r="I37" s="44"/>
      <c r="J37" s="43"/>
      <c r="K37" s="43"/>
      <c r="L37" s="43"/>
      <c r="M37" s="43"/>
      <c r="N37" s="40"/>
      <c r="O37" s="40"/>
      <c r="P37" s="36"/>
      <c r="Q37" s="36"/>
      <c r="R37" s="36"/>
      <c r="S37" s="36"/>
      <c r="T37" s="36"/>
      <c r="U37" s="36"/>
      <c r="V37" s="36"/>
      <c r="W37" s="36"/>
      <c r="X37" s="42">
        <f>W37*30000</f>
        <v>0</v>
      </c>
    </row>
    <row r="38" ht="32.25" customHeight="1">
      <c r="A38" s="1"/>
      <c r="B38" s="28"/>
      <c r="C38" s="37"/>
      <c r="D38" s="45"/>
      <c r="E38" s="51"/>
      <c r="F38" s="50"/>
      <c r="G38" s="50"/>
      <c r="H38" s="44"/>
      <c r="I38" s="44"/>
      <c r="J38" s="39"/>
      <c r="K38" s="39"/>
      <c r="L38" s="39"/>
      <c r="M38" s="39"/>
      <c r="N38" s="40"/>
      <c r="O38" s="40"/>
      <c r="P38" s="36"/>
      <c r="Q38" s="36"/>
      <c r="R38" s="36"/>
      <c r="S38" s="36"/>
      <c r="T38" s="36"/>
      <c r="U38" s="36"/>
      <c r="V38" s="36"/>
      <c r="W38" s="36"/>
      <c r="X38" s="42"/>
    </row>
    <row r="39" ht="27.0" customHeight="1">
      <c r="A39" s="1"/>
      <c r="B39" s="12">
        <v>11.0</v>
      </c>
      <c r="C39" s="30"/>
      <c r="D39" s="62"/>
      <c r="E39" s="62"/>
      <c r="F39" s="62"/>
      <c r="G39" s="62"/>
      <c r="H39" s="32"/>
      <c r="I39" s="32"/>
      <c r="J39" s="32"/>
      <c r="K39" s="39"/>
      <c r="L39" s="39"/>
      <c r="M39" s="39"/>
      <c r="N39" s="40"/>
      <c r="O39" s="40"/>
      <c r="P39" s="36"/>
      <c r="Q39" s="36"/>
      <c r="R39" s="36"/>
      <c r="S39" s="36"/>
      <c r="T39" s="36"/>
      <c r="U39" s="36"/>
      <c r="V39" s="36"/>
      <c r="W39" s="36"/>
      <c r="X39" s="42"/>
    </row>
    <row r="40" ht="27.0" customHeight="1">
      <c r="A40" s="1"/>
      <c r="B40" s="22"/>
      <c r="C40" s="37"/>
      <c r="D40" s="38"/>
      <c r="E40" s="38"/>
      <c r="F40" s="38"/>
      <c r="G40" s="44"/>
      <c r="H40" s="44"/>
      <c r="I40" s="44"/>
      <c r="J40" s="39"/>
      <c r="K40" s="39"/>
      <c r="L40" s="39"/>
      <c r="M40" s="39"/>
      <c r="N40" s="40"/>
      <c r="O40" s="40"/>
      <c r="P40" s="36"/>
      <c r="Q40" s="36"/>
      <c r="R40" s="36"/>
      <c r="S40" s="36"/>
      <c r="T40" s="36"/>
      <c r="U40" s="36"/>
      <c r="V40" s="36"/>
      <c r="W40" s="36"/>
      <c r="X40" s="42"/>
    </row>
    <row r="41" ht="27.0" customHeight="1">
      <c r="A41" s="1"/>
      <c r="B41" s="28"/>
      <c r="C41" s="37"/>
      <c r="D41" s="45"/>
      <c r="E41" s="50"/>
      <c r="F41" s="50"/>
      <c r="G41" s="50"/>
      <c r="H41" s="44"/>
      <c r="I41" s="44"/>
      <c r="J41" s="39"/>
      <c r="K41" s="39"/>
      <c r="L41" s="39"/>
      <c r="M41" s="39"/>
      <c r="N41" s="40"/>
      <c r="O41" s="40"/>
      <c r="P41" s="36"/>
      <c r="Q41" s="36"/>
      <c r="R41" s="36"/>
      <c r="S41" s="36"/>
      <c r="T41" s="36"/>
      <c r="U41" s="36"/>
      <c r="V41" s="36"/>
      <c r="W41" s="36"/>
      <c r="X41" s="42"/>
    </row>
    <row r="42" ht="27.0" customHeight="1">
      <c r="A42" s="1"/>
      <c r="B42" s="12">
        <v>12.0</v>
      </c>
      <c r="C42" s="54"/>
      <c r="D42" s="57"/>
      <c r="E42" s="57"/>
      <c r="F42" s="33"/>
      <c r="G42" s="33"/>
      <c r="H42" s="33"/>
      <c r="I42" s="33"/>
      <c r="J42" s="33"/>
      <c r="K42" s="33"/>
      <c r="L42" s="33"/>
      <c r="M42" s="39"/>
      <c r="N42" s="40"/>
      <c r="O42" s="40"/>
      <c r="P42" s="36"/>
      <c r="Q42" s="36"/>
      <c r="R42" s="36"/>
      <c r="S42" s="36"/>
      <c r="T42" s="36"/>
      <c r="U42" s="36"/>
      <c r="V42" s="36"/>
      <c r="W42" s="36"/>
      <c r="X42" s="42"/>
    </row>
    <row r="43" ht="27.0" customHeight="1">
      <c r="A43" s="1"/>
      <c r="B43" s="22"/>
      <c r="C43" s="37"/>
      <c r="D43" s="51"/>
      <c r="E43" s="51"/>
      <c r="F43" s="50"/>
      <c r="G43" s="50"/>
      <c r="H43" s="44"/>
      <c r="I43" s="44"/>
      <c r="J43" s="39"/>
      <c r="K43" s="39"/>
      <c r="L43" s="39"/>
      <c r="M43" s="39"/>
      <c r="N43" s="40"/>
      <c r="O43" s="40"/>
      <c r="P43" s="36"/>
      <c r="Q43" s="36"/>
      <c r="R43" s="36"/>
      <c r="S43" s="36"/>
      <c r="T43" s="36"/>
      <c r="U43" s="36"/>
      <c r="V43" s="36"/>
      <c r="W43" s="36"/>
      <c r="X43" s="42"/>
    </row>
    <row r="44" ht="27.0" customHeight="1">
      <c r="A44" s="1"/>
      <c r="B44" s="28"/>
      <c r="C44" s="37"/>
      <c r="D44" s="45"/>
      <c r="E44" s="50"/>
      <c r="F44" s="50"/>
      <c r="G44" s="50"/>
      <c r="H44" s="44"/>
      <c r="I44" s="44"/>
      <c r="J44" s="39"/>
      <c r="K44" s="39"/>
      <c r="L44" s="39"/>
      <c r="M44" s="39"/>
      <c r="N44" s="40"/>
      <c r="O44" s="40"/>
      <c r="P44" s="36"/>
      <c r="Q44" s="36"/>
      <c r="R44" s="36"/>
      <c r="S44" s="36"/>
      <c r="T44" s="36"/>
      <c r="U44" s="36"/>
      <c r="V44" s="36"/>
      <c r="W44" s="36"/>
      <c r="X44" s="42"/>
    </row>
    <row r="45" ht="27.0" customHeight="1">
      <c r="A45" s="1"/>
      <c r="B45" s="12">
        <v>13.0</v>
      </c>
      <c r="C45" s="54"/>
      <c r="D45" s="45"/>
      <c r="E45" s="45"/>
      <c r="F45" s="50"/>
      <c r="G45" s="50"/>
      <c r="H45" s="44"/>
      <c r="I45" s="44"/>
      <c r="J45" s="39"/>
      <c r="K45" s="39"/>
      <c r="L45" s="39"/>
      <c r="M45" s="39"/>
      <c r="N45" s="40"/>
      <c r="O45" s="40"/>
      <c r="P45" s="36"/>
      <c r="Q45" s="36"/>
      <c r="R45" s="36"/>
      <c r="S45" s="36"/>
      <c r="T45" s="36"/>
      <c r="U45" s="36"/>
      <c r="V45" s="36"/>
      <c r="W45" s="36"/>
      <c r="X45" s="42"/>
    </row>
    <row r="46" ht="32.25" customHeight="1">
      <c r="A46" s="1"/>
      <c r="B46" s="22"/>
      <c r="C46" s="37"/>
      <c r="D46" s="38"/>
      <c r="E46" s="38"/>
      <c r="F46" s="44"/>
      <c r="G46" s="44"/>
      <c r="H46" s="44"/>
      <c r="I46" s="44"/>
      <c r="J46" s="39"/>
      <c r="K46" s="39"/>
      <c r="L46" s="39"/>
      <c r="M46" s="39"/>
      <c r="N46" s="40"/>
      <c r="O46" s="40"/>
      <c r="P46" s="36"/>
      <c r="Q46" s="36"/>
      <c r="R46" s="36"/>
      <c r="S46" s="36"/>
      <c r="T46" s="36"/>
      <c r="U46" s="36"/>
      <c r="V46" s="36"/>
      <c r="W46" s="36"/>
      <c r="X46" s="27">
        <v>0.0</v>
      </c>
    </row>
    <row r="47" ht="32.25" customHeight="1">
      <c r="A47" s="7"/>
      <c r="B47" s="28"/>
      <c r="C47" s="37"/>
      <c r="D47" s="66"/>
      <c r="E47" s="44"/>
      <c r="F47" s="44"/>
      <c r="G47" s="44"/>
      <c r="H47" s="44"/>
      <c r="I47" s="44"/>
      <c r="J47" s="39"/>
      <c r="K47" s="39"/>
      <c r="L47" s="39"/>
      <c r="M47" s="39"/>
      <c r="N47" s="40"/>
      <c r="O47" s="40"/>
      <c r="P47" s="36"/>
      <c r="Q47" s="36"/>
      <c r="R47" s="36"/>
      <c r="S47" s="36"/>
      <c r="T47" s="36"/>
      <c r="U47" s="36"/>
      <c r="V47" s="36"/>
      <c r="W47" s="36"/>
      <c r="X47" s="42"/>
    </row>
    <row r="48">
      <c r="A48" s="1"/>
      <c r="B48" s="30" t="s">
        <v>46</v>
      </c>
      <c r="C48" s="6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T48" s="39"/>
      <c r="U48" s="39"/>
      <c r="V48" s="39"/>
      <c r="W48" s="39"/>
      <c r="X48" s="68"/>
    </row>
    <row r="49">
      <c r="A49" s="1"/>
      <c r="B49" s="30" t="s">
        <v>47</v>
      </c>
      <c r="C49" s="6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  <c r="T49" s="39"/>
      <c r="U49" s="39"/>
      <c r="V49" s="39"/>
      <c r="W49" s="39"/>
      <c r="X49" s="68"/>
    </row>
    <row r="50">
      <c r="B50" s="40"/>
      <c r="C50" s="48"/>
      <c r="D50" s="40"/>
      <c r="E50" s="40"/>
      <c r="F50" s="40"/>
      <c r="G50" s="40"/>
      <c r="H50" s="48"/>
      <c r="I50" s="48"/>
      <c r="J50" s="48"/>
      <c r="K50" s="48"/>
      <c r="L50" s="40"/>
      <c r="M50" s="40"/>
      <c r="N50" s="40"/>
      <c r="O50" s="40"/>
      <c r="P50" s="69"/>
      <c r="Q50" s="69"/>
      <c r="R50" s="69"/>
      <c r="S50" s="69"/>
      <c r="T50" s="69"/>
      <c r="U50" s="69"/>
      <c r="V50" s="69"/>
      <c r="W50" s="69"/>
      <c r="X50" s="40"/>
    </row>
    <row r="51">
      <c r="C51" s="61"/>
      <c r="H51" s="61"/>
      <c r="I51" s="61"/>
      <c r="J51" s="61"/>
      <c r="K51" s="61"/>
    </row>
    <row r="52">
      <c r="C52" s="61"/>
      <c r="H52" s="61"/>
      <c r="I52" s="61"/>
      <c r="J52" s="61"/>
      <c r="K52" s="61"/>
    </row>
    <row r="53">
      <c r="C53" s="61"/>
      <c r="H53" s="61"/>
      <c r="I53" s="61"/>
      <c r="J53" s="61"/>
      <c r="K53" s="61"/>
    </row>
    <row r="54">
      <c r="C54" s="61"/>
      <c r="H54" s="61"/>
      <c r="I54" s="61"/>
      <c r="J54" s="61"/>
      <c r="K54" s="61"/>
    </row>
    <row r="55">
      <c r="C55" s="61"/>
      <c r="H55" s="61"/>
      <c r="I55" s="61"/>
      <c r="J55" s="61"/>
      <c r="K55" s="61"/>
    </row>
    <row r="56">
      <c r="C56" s="61"/>
      <c r="H56" s="61"/>
      <c r="I56" s="61"/>
      <c r="J56" s="61"/>
      <c r="K56" s="61"/>
    </row>
    <row r="57">
      <c r="C57" s="61"/>
      <c r="H57" s="61"/>
      <c r="I57" s="61"/>
      <c r="J57" s="61"/>
      <c r="K57" s="61"/>
    </row>
    <row r="58">
      <c r="C58" s="61"/>
      <c r="H58" s="61"/>
      <c r="I58" s="61"/>
      <c r="J58" s="61"/>
      <c r="K58" s="61"/>
    </row>
    <row r="59">
      <c r="C59" s="61"/>
      <c r="H59" s="61"/>
      <c r="I59" s="61"/>
      <c r="J59" s="61"/>
      <c r="K59" s="61"/>
    </row>
    <row r="60">
      <c r="C60" s="61"/>
      <c r="H60" s="61"/>
      <c r="I60" s="61"/>
      <c r="J60" s="61"/>
      <c r="K60" s="61"/>
    </row>
    <row r="61">
      <c r="C61" s="61"/>
      <c r="H61" s="61"/>
      <c r="I61" s="61"/>
      <c r="J61" s="61"/>
      <c r="K61" s="61"/>
    </row>
    <row r="62">
      <c r="C62" s="61"/>
      <c r="H62" s="61"/>
      <c r="I62" s="61"/>
      <c r="J62" s="61"/>
      <c r="K62" s="61"/>
    </row>
    <row r="63">
      <c r="C63" s="61"/>
      <c r="H63" s="61"/>
      <c r="I63" s="61"/>
      <c r="J63" s="61"/>
      <c r="K63" s="61"/>
    </row>
    <row r="64">
      <c r="C64" s="61"/>
      <c r="H64" s="61"/>
      <c r="I64" s="61"/>
      <c r="J64" s="61"/>
      <c r="K64" s="61"/>
    </row>
    <row r="65">
      <c r="C65" s="61"/>
      <c r="H65" s="61"/>
      <c r="I65" s="61"/>
      <c r="J65" s="61"/>
      <c r="K65" s="61"/>
    </row>
    <row r="66">
      <c r="C66" s="61"/>
      <c r="H66" s="61"/>
      <c r="I66" s="61"/>
      <c r="J66" s="61"/>
      <c r="K66" s="61"/>
    </row>
    <row r="67">
      <c r="C67" s="61"/>
      <c r="H67" s="61"/>
      <c r="I67" s="61"/>
      <c r="J67" s="61"/>
      <c r="K67" s="61"/>
    </row>
    <row r="68">
      <c r="C68" s="61"/>
      <c r="H68" s="61"/>
      <c r="I68" s="61"/>
      <c r="J68" s="61"/>
      <c r="K68" s="61"/>
    </row>
    <row r="69">
      <c r="C69" s="61"/>
      <c r="H69" s="61"/>
      <c r="I69" s="61"/>
      <c r="J69" s="61"/>
      <c r="K69" s="61"/>
    </row>
    <row r="70">
      <c r="C70" s="61"/>
      <c r="H70" s="61"/>
      <c r="I70" s="61"/>
      <c r="J70" s="61"/>
      <c r="K70" s="61"/>
    </row>
    <row r="71">
      <c r="C71" s="61"/>
      <c r="H71" s="61"/>
      <c r="I71" s="61"/>
      <c r="J71" s="61"/>
      <c r="K71" s="61"/>
    </row>
    <row r="72">
      <c r="C72" s="61"/>
      <c r="H72" s="61"/>
      <c r="I72" s="61"/>
      <c r="J72" s="61"/>
      <c r="K72" s="61"/>
    </row>
    <row r="73">
      <c r="C73" s="61"/>
      <c r="H73" s="61"/>
      <c r="I73" s="61"/>
      <c r="J73" s="61"/>
      <c r="K73" s="61"/>
    </row>
    <row r="74">
      <c r="C74" s="61"/>
      <c r="H74" s="61"/>
      <c r="I74" s="61"/>
      <c r="J74" s="61"/>
      <c r="K74" s="61"/>
    </row>
    <row r="75">
      <c r="C75" s="61"/>
      <c r="H75" s="61"/>
      <c r="I75" s="61"/>
      <c r="J75" s="61"/>
      <c r="K75" s="61"/>
    </row>
    <row r="76">
      <c r="C76" s="61"/>
      <c r="H76" s="61"/>
      <c r="I76" s="61"/>
      <c r="J76" s="61"/>
      <c r="K76" s="61"/>
    </row>
    <row r="77">
      <c r="C77" s="61"/>
      <c r="H77" s="61"/>
      <c r="I77" s="61"/>
      <c r="J77" s="61"/>
      <c r="K77" s="61"/>
    </row>
    <row r="78">
      <c r="C78" s="61"/>
      <c r="H78" s="61"/>
      <c r="I78" s="61"/>
      <c r="J78" s="61"/>
      <c r="K78" s="61"/>
    </row>
    <row r="79">
      <c r="C79" s="61"/>
      <c r="H79" s="61"/>
      <c r="I79" s="61"/>
      <c r="J79" s="61"/>
      <c r="K79" s="61"/>
    </row>
    <row r="80">
      <c r="C80" s="61"/>
      <c r="H80" s="61"/>
      <c r="I80" s="61"/>
      <c r="J80" s="61"/>
      <c r="K80" s="61"/>
    </row>
    <row r="81">
      <c r="C81" s="61"/>
      <c r="H81" s="61"/>
      <c r="I81" s="61"/>
      <c r="J81" s="61"/>
      <c r="K81" s="61"/>
    </row>
    <row r="82">
      <c r="C82" s="61"/>
      <c r="H82" s="61"/>
      <c r="I82" s="61"/>
      <c r="J82" s="61"/>
      <c r="K82" s="61"/>
    </row>
    <row r="83">
      <c r="C83" s="61"/>
      <c r="H83" s="61"/>
      <c r="I83" s="61"/>
      <c r="J83" s="61"/>
      <c r="K83" s="61"/>
    </row>
    <row r="84">
      <c r="C84" s="61"/>
      <c r="H84" s="61"/>
      <c r="I84" s="61"/>
      <c r="J84" s="61"/>
      <c r="K84" s="61"/>
    </row>
    <row r="85">
      <c r="C85" s="61"/>
      <c r="H85" s="61"/>
      <c r="I85" s="61"/>
      <c r="J85" s="61"/>
      <c r="K85" s="61"/>
    </row>
    <row r="86">
      <c r="C86" s="61"/>
      <c r="H86" s="61"/>
      <c r="I86" s="61"/>
      <c r="J86" s="61"/>
      <c r="K86" s="61"/>
    </row>
    <row r="87">
      <c r="C87" s="61"/>
      <c r="H87" s="61"/>
      <c r="I87" s="61"/>
      <c r="J87" s="61"/>
      <c r="K87" s="61"/>
    </row>
    <row r="88">
      <c r="C88" s="61"/>
      <c r="H88" s="61"/>
      <c r="I88" s="61"/>
      <c r="J88" s="61"/>
      <c r="K88" s="61"/>
    </row>
    <row r="89">
      <c r="C89" s="61"/>
      <c r="H89" s="61"/>
      <c r="I89" s="61"/>
      <c r="J89" s="61"/>
      <c r="K89" s="61"/>
    </row>
    <row r="90">
      <c r="C90" s="61"/>
      <c r="H90" s="61"/>
      <c r="I90" s="61"/>
      <c r="J90" s="61"/>
      <c r="K90" s="61"/>
    </row>
    <row r="91">
      <c r="C91" s="61"/>
      <c r="H91" s="61"/>
      <c r="I91" s="61"/>
      <c r="J91" s="61"/>
      <c r="K91" s="61"/>
    </row>
    <row r="92">
      <c r="C92" s="61"/>
      <c r="H92" s="61"/>
      <c r="I92" s="61"/>
      <c r="J92" s="61"/>
      <c r="K92" s="61"/>
    </row>
    <row r="93">
      <c r="C93" s="61"/>
      <c r="H93" s="61"/>
      <c r="I93" s="61"/>
      <c r="J93" s="61"/>
      <c r="K93" s="61"/>
    </row>
    <row r="94">
      <c r="C94" s="61"/>
      <c r="H94" s="61"/>
      <c r="I94" s="61"/>
      <c r="J94" s="61"/>
      <c r="K94" s="61"/>
    </row>
    <row r="95">
      <c r="C95" s="61"/>
      <c r="H95" s="61"/>
      <c r="I95" s="61"/>
      <c r="J95" s="61"/>
      <c r="K95" s="61"/>
    </row>
    <row r="96">
      <c r="C96" s="61"/>
      <c r="H96" s="61"/>
      <c r="I96" s="61"/>
      <c r="J96" s="61"/>
      <c r="K96" s="61"/>
    </row>
    <row r="97">
      <c r="C97" s="61"/>
      <c r="H97" s="61"/>
      <c r="I97" s="61"/>
      <c r="J97" s="61"/>
      <c r="K97" s="61"/>
    </row>
    <row r="98">
      <c r="C98" s="61"/>
      <c r="H98" s="61"/>
      <c r="I98" s="61"/>
      <c r="J98" s="61"/>
      <c r="K98" s="61"/>
    </row>
    <row r="99">
      <c r="C99" s="61"/>
      <c r="H99" s="61"/>
      <c r="I99" s="61"/>
      <c r="J99" s="61"/>
      <c r="K99" s="61"/>
    </row>
    <row r="100">
      <c r="C100" s="61"/>
      <c r="H100" s="61"/>
      <c r="I100" s="61"/>
      <c r="J100" s="61"/>
      <c r="K100" s="61"/>
    </row>
    <row r="101">
      <c r="C101" s="61"/>
      <c r="H101" s="61"/>
      <c r="I101" s="61"/>
      <c r="J101" s="61"/>
      <c r="K101" s="61"/>
    </row>
    <row r="102">
      <c r="C102" s="61"/>
      <c r="H102" s="61"/>
      <c r="I102" s="61"/>
      <c r="J102" s="61"/>
      <c r="K102" s="61"/>
    </row>
    <row r="103">
      <c r="C103" s="61"/>
      <c r="H103" s="61"/>
      <c r="I103" s="61"/>
      <c r="J103" s="61"/>
      <c r="K103" s="61"/>
    </row>
    <row r="104">
      <c r="C104" s="61"/>
      <c r="H104" s="61"/>
      <c r="I104" s="61"/>
      <c r="J104" s="61"/>
      <c r="K104" s="61"/>
    </row>
    <row r="105">
      <c r="C105" s="61"/>
      <c r="H105" s="61"/>
      <c r="I105" s="61"/>
      <c r="J105" s="61"/>
      <c r="K105" s="61"/>
    </row>
    <row r="106">
      <c r="C106" s="61"/>
      <c r="H106" s="61"/>
      <c r="I106" s="61"/>
      <c r="J106" s="61"/>
      <c r="K106" s="61"/>
    </row>
    <row r="107">
      <c r="C107" s="61"/>
      <c r="H107" s="61"/>
      <c r="I107" s="61"/>
      <c r="J107" s="61"/>
      <c r="K107" s="61"/>
    </row>
    <row r="108">
      <c r="C108" s="61"/>
      <c r="H108" s="61"/>
      <c r="I108" s="61"/>
      <c r="J108" s="61"/>
      <c r="K108" s="61"/>
    </row>
    <row r="109">
      <c r="C109" s="61"/>
      <c r="H109" s="61"/>
      <c r="I109" s="61"/>
      <c r="J109" s="61"/>
      <c r="K109" s="61"/>
    </row>
    <row r="110">
      <c r="C110" s="61"/>
      <c r="H110" s="61"/>
      <c r="I110" s="61"/>
      <c r="J110" s="61"/>
      <c r="K110" s="61"/>
    </row>
    <row r="111">
      <c r="C111" s="61"/>
      <c r="H111" s="61"/>
      <c r="I111" s="61"/>
      <c r="J111" s="61"/>
      <c r="K111" s="61"/>
    </row>
    <row r="112">
      <c r="C112" s="61"/>
      <c r="H112" s="61"/>
      <c r="I112" s="61"/>
      <c r="J112" s="61"/>
      <c r="K112" s="61"/>
    </row>
    <row r="113">
      <c r="C113" s="61"/>
      <c r="H113" s="61"/>
      <c r="I113" s="61"/>
      <c r="J113" s="61"/>
      <c r="K113" s="61"/>
    </row>
    <row r="114">
      <c r="C114" s="61"/>
      <c r="H114" s="61"/>
      <c r="I114" s="61"/>
      <c r="J114" s="61"/>
      <c r="K114" s="61"/>
    </row>
    <row r="115">
      <c r="C115" s="61"/>
      <c r="H115" s="61"/>
      <c r="I115" s="61"/>
      <c r="J115" s="61"/>
      <c r="K115" s="61"/>
    </row>
    <row r="116">
      <c r="C116" s="61"/>
      <c r="H116" s="61"/>
      <c r="I116" s="61"/>
      <c r="J116" s="61"/>
      <c r="K116" s="61"/>
    </row>
    <row r="117">
      <c r="C117" s="61"/>
      <c r="H117" s="61"/>
      <c r="I117" s="61"/>
      <c r="J117" s="61"/>
      <c r="K117" s="61"/>
    </row>
    <row r="118">
      <c r="C118" s="61"/>
      <c r="H118" s="61"/>
      <c r="I118" s="61"/>
      <c r="J118" s="61"/>
      <c r="K118" s="61"/>
    </row>
    <row r="119">
      <c r="C119" s="61"/>
      <c r="H119" s="61"/>
      <c r="I119" s="61"/>
      <c r="J119" s="61"/>
      <c r="K119" s="61"/>
    </row>
    <row r="120">
      <c r="C120" s="61"/>
      <c r="H120" s="61"/>
      <c r="I120" s="61"/>
      <c r="J120" s="61"/>
      <c r="K120" s="61"/>
    </row>
    <row r="121">
      <c r="C121" s="61"/>
      <c r="H121" s="61"/>
      <c r="I121" s="61"/>
      <c r="J121" s="61"/>
      <c r="K121" s="61"/>
    </row>
    <row r="122">
      <c r="C122" s="61"/>
      <c r="H122" s="61"/>
      <c r="I122" s="61"/>
      <c r="J122" s="61"/>
      <c r="K122" s="61"/>
    </row>
    <row r="123">
      <c r="C123" s="61"/>
      <c r="H123" s="61"/>
      <c r="I123" s="61"/>
      <c r="J123" s="61"/>
      <c r="K123" s="61"/>
    </row>
    <row r="124">
      <c r="C124" s="61"/>
      <c r="H124" s="61"/>
      <c r="I124" s="61"/>
      <c r="J124" s="61"/>
      <c r="K124" s="61"/>
    </row>
    <row r="125">
      <c r="C125" s="61"/>
      <c r="H125" s="61"/>
      <c r="I125" s="61"/>
      <c r="J125" s="61"/>
      <c r="K125" s="61"/>
    </row>
    <row r="126">
      <c r="C126" s="61"/>
      <c r="H126" s="61"/>
      <c r="I126" s="61"/>
      <c r="J126" s="61"/>
      <c r="K126" s="61"/>
    </row>
    <row r="127">
      <c r="C127" s="61"/>
      <c r="H127" s="61"/>
      <c r="I127" s="61"/>
      <c r="J127" s="61"/>
      <c r="K127" s="61"/>
    </row>
    <row r="128">
      <c r="C128" s="61"/>
      <c r="H128" s="61"/>
      <c r="I128" s="61"/>
      <c r="J128" s="61"/>
      <c r="K128" s="61"/>
    </row>
    <row r="129">
      <c r="C129" s="61"/>
      <c r="H129" s="61"/>
      <c r="I129" s="61"/>
      <c r="J129" s="61"/>
      <c r="K129" s="61"/>
    </row>
    <row r="130">
      <c r="C130" s="61"/>
      <c r="H130" s="61"/>
      <c r="I130" s="61"/>
      <c r="J130" s="61"/>
      <c r="K130" s="61"/>
    </row>
    <row r="131">
      <c r="C131" s="61"/>
      <c r="H131" s="61"/>
      <c r="I131" s="61"/>
      <c r="J131" s="61"/>
      <c r="K131" s="61"/>
    </row>
    <row r="132">
      <c r="C132" s="61"/>
      <c r="H132" s="61"/>
      <c r="I132" s="61"/>
      <c r="J132" s="61"/>
      <c r="K132" s="61"/>
    </row>
    <row r="133">
      <c r="C133" s="61"/>
      <c r="H133" s="61"/>
      <c r="I133" s="61"/>
      <c r="J133" s="61"/>
      <c r="K133" s="61"/>
    </row>
    <row r="134">
      <c r="C134" s="61"/>
      <c r="H134" s="61"/>
      <c r="I134" s="61"/>
      <c r="J134" s="61"/>
      <c r="K134" s="61"/>
    </row>
    <row r="135">
      <c r="C135" s="61"/>
      <c r="H135" s="61"/>
      <c r="I135" s="61"/>
      <c r="J135" s="61"/>
      <c r="K135" s="61"/>
    </row>
    <row r="136">
      <c r="C136" s="61"/>
      <c r="H136" s="61"/>
      <c r="I136" s="61"/>
      <c r="J136" s="61"/>
      <c r="K136" s="61"/>
    </row>
    <row r="137">
      <c r="C137" s="61"/>
      <c r="H137" s="61"/>
      <c r="I137" s="61"/>
      <c r="J137" s="61"/>
      <c r="K137" s="61"/>
    </row>
    <row r="138">
      <c r="C138" s="61"/>
      <c r="H138" s="61"/>
      <c r="I138" s="61"/>
      <c r="J138" s="61"/>
      <c r="K138" s="61"/>
    </row>
    <row r="139">
      <c r="C139" s="61"/>
      <c r="H139" s="61"/>
      <c r="I139" s="61"/>
      <c r="J139" s="61"/>
      <c r="K139" s="61"/>
    </row>
    <row r="140">
      <c r="C140" s="61"/>
      <c r="H140" s="61"/>
      <c r="I140" s="61"/>
      <c r="J140" s="61"/>
      <c r="K140" s="61"/>
    </row>
    <row r="141">
      <c r="C141" s="61"/>
      <c r="H141" s="61"/>
      <c r="I141" s="61"/>
      <c r="J141" s="61"/>
      <c r="K141" s="61"/>
    </row>
    <row r="142">
      <c r="C142" s="61"/>
      <c r="H142" s="61"/>
      <c r="I142" s="61"/>
      <c r="J142" s="61"/>
      <c r="K142" s="61"/>
    </row>
    <row r="143">
      <c r="C143" s="61"/>
      <c r="H143" s="61"/>
      <c r="I143" s="61"/>
      <c r="J143" s="61"/>
      <c r="K143" s="61"/>
    </row>
    <row r="144">
      <c r="C144" s="61"/>
      <c r="H144" s="61"/>
      <c r="I144" s="61"/>
      <c r="J144" s="61"/>
      <c r="K144" s="61"/>
    </row>
    <row r="145">
      <c r="C145" s="61"/>
      <c r="H145" s="61"/>
      <c r="I145" s="61"/>
      <c r="J145" s="61"/>
      <c r="K145" s="61"/>
    </row>
    <row r="146">
      <c r="C146" s="61"/>
      <c r="H146" s="61"/>
      <c r="I146" s="61"/>
      <c r="J146" s="61"/>
      <c r="K146" s="61"/>
    </row>
    <row r="147">
      <c r="C147" s="61"/>
      <c r="H147" s="61"/>
      <c r="I147" s="61"/>
      <c r="J147" s="61"/>
      <c r="K147" s="61"/>
    </row>
    <row r="148">
      <c r="C148" s="61"/>
      <c r="H148" s="61"/>
      <c r="I148" s="61"/>
      <c r="J148" s="61"/>
      <c r="K148" s="61"/>
    </row>
    <row r="149">
      <c r="C149" s="61"/>
      <c r="H149" s="61"/>
      <c r="I149" s="61"/>
      <c r="J149" s="61"/>
      <c r="K149" s="61"/>
    </row>
    <row r="150">
      <c r="C150" s="61"/>
      <c r="H150" s="61"/>
      <c r="I150" s="61"/>
      <c r="J150" s="61"/>
      <c r="K150" s="61"/>
    </row>
    <row r="151">
      <c r="C151" s="61"/>
      <c r="H151" s="61"/>
      <c r="I151" s="61"/>
      <c r="J151" s="61"/>
      <c r="K151" s="61"/>
    </row>
    <row r="152">
      <c r="C152" s="61"/>
      <c r="H152" s="61"/>
      <c r="I152" s="61"/>
      <c r="J152" s="61"/>
      <c r="K152" s="61"/>
    </row>
    <row r="153">
      <c r="C153" s="61"/>
      <c r="H153" s="61"/>
      <c r="I153" s="61"/>
      <c r="J153" s="61"/>
      <c r="K153" s="61"/>
    </row>
    <row r="154">
      <c r="C154" s="61"/>
      <c r="H154" s="61"/>
      <c r="I154" s="61"/>
      <c r="J154" s="61"/>
      <c r="K154" s="61"/>
    </row>
    <row r="155">
      <c r="C155" s="61"/>
      <c r="H155" s="61"/>
      <c r="I155" s="61"/>
      <c r="J155" s="61"/>
      <c r="K155" s="61"/>
    </row>
    <row r="156">
      <c r="C156" s="61"/>
      <c r="H156" s="61"/>
      <c r="I156" s="61"/>
      <c r="J156" s="61"/>
      <c r="K156" s="61"/>
    </row>
    <row r="157">
      <c r="C157" s="61"/>
      <c r="H157" s="61"/>
      <c r="I157" s="61"/>
      <c r="J157" s="61"/>
      <c r="K157" s="61"/>
    </row>
    <row r="158">
      <c r="C158" s="61"/>
      <c r="H158" s="61"/>
      <c r="I158" s="61"/>
      <c r="J158" s="61"/>
      <c r="K158" s="61"/>
    </row>
    <row r="159">
      <c r="C159" s="61"/>
      <c r="H159" s="61"/>
      <c r="I159" s="61"/>
      <c r="J159" s="61"/>
      <c r="K159" s="61"/>
    </row>
    <row r="160">
      <c r="C160" s="61"/>
      <c r="H160" s="61"/>
      <c r="I160" s="61"/>
      <c r="J160" s="61"/>
      <c r="K160" s="61"/>
    </row>
    <row r="161">
      <c r="C161" s="61"/>
      <c r="H161" s="61"/>
      <c r="I161" s="61"/>
      <c r="J161" s="61"/>
      <c r="K161" s="61"/>
    </row>
    <row r="162">
      <c r="C162" s="61"/>
      <c r="H162" s="61"/>
      <c r="I162" s="61"/>
      <c r="J162" s="61"/>
      <c r="K162" s="61"/>
    </row>
    <row r="163">
      <c r="C163" s="61"/>
      <c r="H163" s="61"/>
      <c r="I163" s="61"/>
      <c r="J163" s="61"/>
      <c r="K163" s="61"/>
    </row>
    <row r="164">
      <c r="C164" s="61"/>
      <c r="H164" s="61"/>
      <c r="I164" s="61"/>
      <c r="J164" s="61"/>
      <c r="K164" s="61"/>
    </row>
    <row r="165">
      <c r="C165" s="61"/>
      <c r="H165" s="61"/>
      <c r="I165" s="61"/>
      <c r="J165" s="61"/>
      <c r="K165" s="61"/>
    </row>
    <row r="166">
      <c r="C166" s="61"/>
      <c r="H166" s="61"/>
      <c r="I166" s="61"/>
      <c r="J166" s="61"/>
      <c r="K166" s="61"/>
    </row>
    <row r="167">
      <c r="C167" s="61"/>
      <c r="H167" s="61"/>
      <c r="I167" s="61"/>
      <c r="J167" s="61"/>
      <c r="K167" s="61"/>
    </row>
    <row r="168">
      <c r="C168" s="61"/>
      <c r="H168" s="61"/>
      <c r="I168" s="61"/>
      <c r="J168" s="61"/>
      <c r="K168" s="61"/>
    </row>
    <row r="169">
      <c r="C169" s="61"/>
      <c r="H169" s="61"/>
      <c r="I169" s="61"/>
      <c r="J169" s="61"/>
      <c r="K169" s="61"/>
    </row>
    <row r="170">
      <c r="C170" s="61"/>
      <c r="H170" s="61"/>
      <c r="I170" s="61"/>
      <c r="J170" s="61"/>
      <c r="K170" s="61"/>
    </row>
    <row r="171">
      <c r="C171" s="61"/>
      <c r="H171" s="61"/>
      <c r="I171" s="61"/>
      <c r="J171" s="61"/>
      <c r="K171" s="61"/>
    </row>
    <row r="172">
      <c r="C172" s="61"/>
      <c r="H172" s="61"/>
      <c r="I172" s="61"/>
      <c r="J172" s="61"/>
      <c r="K172" s="61"/>
    </row>
    <row r="173">
      <c r="C173" s="61"/>
      <c r="H173" s="61"/>
      <c r="I173" s="61"/>
      <c r="J173" s="61"/>
      <c r="K173" s="61"/>
    </row>
    <row r="174">
      <c r="C174" s="61"/>
      <c r="H174" s="61"/>
      <c r="I174" s="61"/>
      <c r="J174" s="61"/>
      <c r="K174" s="61"/>
    </row>
    <row r="175">
      <c r="C175" s="61"/>
      <c r="H175" s="61"/>
      <c r="I175" s="61"/>
      <c r="J175" s="61"/>
      <c r="K175" s="61"/>
    </row>
    <row r="176">
      <c r="C176" s="61"/>
      <c r="H176" s="61"/>
      <c r="I176" s="61"/>
      <c r="J176" s="61"/>
      <c r="K176" s="61"/>
    </row>
    <row r="177">
      <c r="C177" s="61"/>
      <c r="H177" s="61"/>
      <c r="I177" s="61"/>
      <c r="J177" s="61"/>
      <c r="K177" s="61"/>
    </row>
    <row r="178">
      <c r="C178" s="61"/>
      <c r="H178" s="61"/>
      <c r="I178" s="61"/>
      <c r="J178" s="61"/>
      <c r="K178" s="61"/>
    </row>
    <row r="179">
      <c r="C179" s="61"/>
      <c r="H179" s="61"/>
      <c r="I179" s="61"/>
      <c r="J179" s="61"/>
      <c r="K179" s="61"/>
    </row>
    <row r="180">
      <c r="C180" s="61"/>
      <c r="H180" s="61"/>
      <c r="I180" s="61"/>
      <c r="J180" s="61"/>
      <c r="K180" s="61"/>
    </row>
    <row r="181">
      <c r="C181" s="61"/>
      <c r="H181" s="61"/>
      <c r="I181" s="61"/>
      <c r="J181" s="61"/>
      <c r="K181" s="61"/>
    </row>
    <row r="182">
      <c r="C182" s="61"/>
      <c r="H182" s="61"/>
      <c r="I182" s="61"/>
      <c r="J182" s="61"/>
      <c r="K182" s="61"/>
    </row>
    <row r="183">
      <c r="C183" s="61"/>
      <c r="H183" s="61"/>
      <c r="I183" s="61"/>
      <c r="J183" s="61"/>
      <c r="K183" s="61"/>
    </row>
    <row r="184">
      <c r="C184" s="61"/>
      <c r="H184" s="61"/>
      <c r="I184" s="61"/>
      <c r="J184" s="61"/>
      <c r="K184" s="61"/>
    </row>
    <row r="185">
      <c r="C185" s="61"/>
      <c r="H185" s="61"/>
      <c r="I185" s="61"/>
      <c r="J185" s="61"/>
      <c r="K185" s="61"/>
    </row>
    <row r="186">
      <c r="C186" s="61"/>
      <c r="H186" s="61"/>
      <c r="I186" s="61"/>
      <c r="J186" s="61"/>
      <c r="K186" s="61"/>
    </row>
    <row r="187">
      <c r="C187" s="61"/>
      <c r="H187" s="61"/>
      <c r="I187" s="61"/>
      <c r="J187" s="61"/>
      <c r="K187" s="61"/>
    </row>
    <row r="188">
      <c r="C188" s="61"/>
      <c r="H188" s="61"/>
      <c r="I188" s="61"/>
      <c r="J188" s="61"/>
      <c r="K188" s="61"/>
    </row>
    <row r="189">
      <c r="C189" s="61"/>
      <c r="H189" s="61"/>
      <c r="I189" s="61"/>
      <c r="J189" s="61"/>
      <c r="K189" s="61"/>
    </row>
    <row r="190">
      <c r="C190" s="61"/>
      <c r="H190" s="61"/>
      <c r="I190" s="61"/>
      <c r="J190" s="61"/>
      <c r="K190" s="61"/>
    </row>
    <row r="191">
      <c r="C191" s="61"/>
      <c r="H191" s="61"/>
      <c r="I191" s="61"/>
      <c r="J191" s="61"/>
      <c r="K191" s="61"/>
    </row>
    <row r="192">
      <c r="C192" s="61"/>
      <c r="H192" s="61"/>
      <c r="I192" s="61"/>
      <c r="J192" s="61"/>
      <c r="K192" s="61"/>
    </row>
    <row r="193">
      <c r="C193" s="61"/>
      <c r="H193" s="61"/>
      <c r="I193" s="61"/>
      <c r="J193" s="61"/>
      <c r="K193" s="61"/>
    </row>
    <row r="194">
      <c r="C194" s="61"/>
      <c r="H194" s="61"/>
      <c r="I194" s="61"/>
      <c r="J194" s="61"/>
      <c r="K194" s="61"/>
    </row>
    <row r="195">
      <c r="C195" s="61"/>
      <c r="H195" s="61"/>
      <c r="I195" s="61"/>
      <c r="J195" s="61"/>
      <c r="K195" s="61"/>
    </row>
    <row r="196">
      <c r="C196" s="61"/>
      <c r="H196" s="61"/>
      <c r="I196" s="61"/>
      <c r="J196" s="61"/>
      <c r="K196" s="61"/>
    </row>
    <row r="197">
      <c r="C197" s="61"/>
      <c r="H197" s="61"/>
      <c r="I197" s="61"/>
      <c r="J197" s="61"/>
      <c r="K197" s="61"/>
    </row>
    <row r="198">
      <c r="C198" s="61"/>
      <c r="H198" s="61"/>
      <c r="I198" s="61"/>
      <c r="J198" s="61"/>
      <c r="K198" s="61"/>
    </row>
    <row r="199">
      <c r="C199" s="61"/>
      <c r="H199" s="61"/>
      <c r="I199" s="61"/>
      <c r="J199" s="61"/>
      <c r="K199" s="61"/>
    </row>
    <row r="200">
      <c r="C200" s="61"/>
      <c r="H200" s="61"/>
      <c r="I200" s="61"/>
      <c r="J200" s="61"/>
      <c r="K200" s="61"/>
    </row>
    <row r="201">
      <c r="C201" s="61"/>
      <c r="H201" s="61"/>
      <c r="I201" s="61"/>
      <c r="J201" s="61"/>
      <c r="K201" s="61"/>
    </row>
    <row r="202">
      <c r="C202" s="61"/>
      <c r="H202" s="61"/>
      <c r="I202" s="61"/>
      <c r="J202" s="61"/>
      <c r="K202" s="61"/>
    </row>
    <row r="203">
      <c r="C203" s="61"/>
      <c r="H203" s="61"/>
      <c r="I203" s="61"/>
      <c r="J203" s="61"/>
      <c r="K203" s="61"/>
    </row>
    <row r="204">
      <c r="C204" s="61"/>
      <c r="H204" s="61"/>
      <c r="I204" s="61"/>
      <c r="J204" s="61"/>
      <c r="K204" s="61"/>
    </row>
    <row r="205">
      <c r="C205" s="61"/>
      <c r="H205" s="61"/>
      <c r="I205" s="61"/>
      <c r="J205" s="61"/>
      <c r="K205" s="61"/>
    </row>
    <row r="206">
      <c r="C206" s="61"/>
      <c r="H206" s="61"/>
      <c r="I206" s="61"/>
      <c r="J206" s="61"/>
      <c r="K206" s="61"/>
    </row>
    <row r="207">
      <c r="C207" s="61"/>
      <c r="H207" s="61"/>
      <c r="I207" s="61"/>
      <c r="J207" s="61"/>
      <c r="K207" s="61"/>
    </row>
    <row r="208">
      <c r="C208" s="61"/>
      <c r="H208" s="61"/>
      <c r="I208" s="61"/>
      <c r="J208" s="61"/>
      <c r="K208" s="61"/>
    </row>
    <row r="209">
      <c r="C209" s="61"/>
      <c r="H209" s="61"/>
      <c r="I209" s="61"/>
      <c r="J209" s="61"/>
      <c r="K209" s="61"/>
    </row>
    <row r="210">
      <c r="C210" s="61"/>
      <c r="H210" s="61"/>
      <c r="I210" s="61"/>
      <c r="J210" s="61"/>
      <c r="K210" s="61"/>
    </row>
    <row r="211">
      <c r="C211" s="61"/>
      <c r="H211" s="61"/>
      <c r="I211" s="61"/>
      <c r="J211" s="61"/>
      <c r="K211" s="61"/>
    </row>
    <row r="212">
      <c r="C212" s="61"/>
      <c r="H212" s="61"/>
      <c r="I212" s="61"/>
      <c r="J212" s="61"/>
      <c r="K212" s="61"/>
    </row>
    <row r="213">
      <c r="C213" s="61"/>
      <c r="H213" s="61"/>
      <c r="I213" s="61"/>
      <c r="J213" s="61"/>
      <c r="K213" s="61"/>
    </row>
    <row r="214">
      <c r="C214" s="61"/>
      <c r="H214" s="61"/>
      <c r="I214" s="61"/>
      <c r="J214" s="61"/>
      <c r="K214" s="61"/>
    </row>
    <row r="215">
      <c r="C215" s="61"/>
      <c r="H215" s="61"/>
      <c r="I215" s="61"/>
      <c r="J215" s="61"/>
      <c r="K215" s="61"/>
    </row>
    <row r="216">
      <c r="C216" s="61"/>
      <c r="H216" s="61"/>
      <c r="I216" s="61"/>
      <c r="J216" s="61"/>
      <c r="K216" s="61"/>
    </row>
    <row r="217">
      <c r="C217" s="61"/>
      <c r="H217" s="61"/>
      <c r="I217" s="61"/>
      <c r="J217" s="61"/>
      <c r="K217" s="61"/>
    </row>
    <row r="218">
      <c r="C218" s="61"/>
      <c r="H218" s="61"/>
      <c r="I218" s="61"/>
      <c r="J218" s="61"/>
      <c r="K218" s="61"/>
    </row>
    <row r="219">
      <c r="C219" s="61"/>
      <c r="H219" s="61"/>
      <c r="I219" s="61"/>
      <c r="J219" s="61"/>
      <c r="K219" s="61"/>
    </row>
    <row r="220">
      <c r="C220" s="61"/>
      <c r="H220" s="61"/>
      <c r="I220" s="61"/>
      <c r="J220" s="61"/>
      <c r="K220" s="61"/>
    </row>
    <row r="221">
      <c r="C221" s="61"/>
      <c r="H221" s="61"/>
      <c r="I221" s="61"/>
      <c r="J221" s="61"/>
      <c r="K221" s="61"/>
    </row>
    <row r="222">
      <c r="C222" s="61"/>
      <c r="H222" s="61"/>
      <c r="I222" s="61"/>
      <c r="J222" s="61"/>
      <c r="K222" s="61"/>
    </row>
    <row r="223">
      <c r="C223" s="61"/>
      <c r="H223" s="61"/>
      <c r="I223" s="61"/>
      <c r="J223" s="61"/>
      <c r="K223" s="61"/>
    </row>
    <row r="224">
      <c r="C224" s="61"/>
      <c r="H224" s="61"/>
      <c r="I224" s="61"/>
      <c r="J224" s="61"/>
      <c r="K224" s="61"/>
    </row>
    <row r="225">
      <c r="C225" s="61"/>
      <c r="H225" s="61"/>
      <c r="I225" s="61"/>
      <c r="J225" s="61"/>
      <c r="K225" s="61"/>
    </row>
    <row r="226">
      <c r="C226" s="61"/>
      <c r="H226" s="61"/>
      <c r="I226" s="61"/>
      <c r="J226" s="61"/>
      <c r="K226" s="61"/>
    </row>
    <row r="227">
      <c r="C227" s="61"/>
      <c r="H227" s="61"/>
      <c r="I227" s="61"/>
      <c r="J227" s="61"/>
      <c r="K227" s="61"/>
    </row>
    <row r="228">
      <c r="C228" s="61"/>
      <c r="H228" s="61"/>
      <c r="I228" s="61"/>
      <c r="J228" s="61"/>
      <c r="K228" s="61"/>
    </row>
    <row r="229">
      <c r="C229" s="61"/>
      <c r="H229" s="61"/>
      <c r="I229" s="61"/>
      <c r="J229" s="61"/>
      <c r="K229" s="61"/>
    </row>
    <row r="230">
      <c r="C230" s="61"/>
      <c r="H230" s="61"/>
      <c r="I230" s="61"/>
      <c r="J230" s="61"/>
      <c r="K230" s="61"/>
    </row>
    <row r="231">
      <c r="C231" s="61"/>
      <c r="H231" s="61"/>
      <c r="I231" s="61"/>
      <c r="J231" s="61"/>
      <c r="K231" s="61"/>
    </row>
    <row r="232">
      <c r="C232" s="61"/>
      <c r="H232" s="61"/>
      <c r="I232" s="61"/>
      <c r="J232" s="61"/>
      <c r="K232" s="61"/>
    </row>
    <row r="233">
      <c r="C233" s="61"/>
      <c r="H233" s="61"/>
      <c r="I233" s="61"/>
      <c r="J233" s="61"/>
      <c r="K233" s="61"/>
    </row>
    <row r="234">
      <c r="C234" s="61"/>
      <c r="H234" s="61"/>
      <c r="I234" s="61"/>
      <c r="J234" s="61"/>
      <c r="K234" s="61"/>
    </row>
    <row r="235">
      <c r="C235" s="61"/>
      <c r="H235" s="61"/>
      <c r="I235" s="61"/>
      <c r="J235" s="61"/>
      <c r="K235" s="61"/>
    </row>
    <row r="236">
      <c r="C236" s="61"/>
      <c r="H236" s="61"/>
      <c r="I236" s="61"/>
      <c r="J236" s="61"/>
      <c r="K236" s="61"/>
    </row>
    <row r="237">
      <c r="C237" s="61"/>
      <c r="H237" s="61"/>
      <c r="I237" s="61"/>
      <c r="J237" s="61"/>
      <c r="K237" s="61"/>
    </row>
    <row r="238">
      <c r="C238" s="61"/>
      <c r="H238" s="61"/>
      <c r="I238" s="61"/>
      <c r="J238" s="61"/>
      <c r="K238" s="61"/>
    </row>
    <row r="239">
      <c r="C239" s="61"/>
      <c r="H239" s="61"/>
      <c r="I239" s="61"/>
      <c r="J239" s="61"/>
      <c r="K239" s="61"/>
    </row>
    <row r="240">
      <c r="C240" s="61"/>
      <c r="H240" s="61"/>
      <c r="I240" s="61"/>
      <c r="J240" s="61"/>
      <c r="K240" s="61"/>
    </row>
    <row r="241">
      <c r="C241" s="61"/>
      <c r="H241" s="61"/>
      <c r="I241" s="61"/>
      <c r="J241" s="61"/>
      <c r="K241" s="61"/>
    </row>
    <row r="242">
      <c r="C242" s="61"/>
      <c r="H242" s="61"/>
      <c r="I242" s="61"/>
      <c r="J242" s="61"/>
      <c r="K242" s="61"/>
    </row>
    <row r="243">
      <c r="C243" s="61"/>
      <c r="H243" s="61"/>
      <c r="I243" s="61"/>
      <c r="J243" s="61"/>
      <c r="K243" s="61"/>
    </row>
    <row r="244">
      <c r="C244" s="61"/>
      <c r="H244" s="61"/>
      <c r="I244" s="61"/>
      <c r="J244" s="61"/>
      <c r="K244" s="61"/>
    </row>
    <row r="245">
      <c r="C245" s="61"/>
      <c r="H245" s="61"/>
      <c r="I245" s="61"/>
      <c r="J245" s="61"/>
      <c r="K245" s="61"/>
    </row>
    <row r="246">
      <c r="C246" s="61"/>
      <c r="H246" s="61"/>
      <c r="I246" s="61"/>
      <c r="J246" s="61"/>
      <c r="K246" s="61"/>
    </row>
    <row r="247">
      <c r="C247" s="61"/>
      <c r="H247" s="61"/>
      <c r="I247" s="61"/>
      <c r="J247" s="61"/>
      <c r="K247" s="61"/>
    </row>
    <row r="248">
      <c r="C248" s="61"/>
      <c r="H248" s="61"/>
      <c r="I248" s="61"/>
      <c r="J248" s="61"/>
      <c r="K248" s="61"/>
    </row>
    <row r="249">
      <c r="C249" s="61"/>
      <c r="H249" s="61"/>
      <c r="I249" s="61"/>
      <c r="J249" s="61"/>
      <c r="K249" s="61"/>
    </row>
    <row r="250">
      <c r="C250" s="61"/>
      <c r="H250" s="61"/>
      <c r="I250" s="61"/>
      <c r="J250" s="61"/>
      <c r="K250" s="61"/>
    </row>
    <row r="251">
      <c r="C251" s="61"/>
      <c r="H251" s="61"/>
      <c r="I251" s="61"/>
      <c r="J251" s="61"/>
      <c r="K251" s="61"/>
    </row>
    <row r="252">
      <c r="C252" s="61"/>
      <c r="H252" s="61"/>
      <c r="I252" s="61"/>
      <c r="J252" s="61"/>
      <c r="K252" s="61"/>
    </row>
    <row r="253">
      <c r="C253" s="61"/>
      <c r="H253" s="61"/>
      <c r="I253" s="61"/>
      <c r="J253" s="61"/>
      <c r="K253" s="61"/>
    </row>
    <row r="254">
      <c r="C254" s="61"/>
      <c r="H254" s="61"/>
      <c r="I254" s="61"/>
      <c r="J254" s="61"/>
      <c r="K254" s="61"/>
    </row>
    <row r="255">
      <c r="C255" s="61"/>
      <c r="H255" s="61"/>
      <c r="I255" s="61"/>
      <c r="J255" s="61"/>
      <c r="K255" s="61"/>
    </row>
    <row r="256">
      <c r="C256" s="61"/>
      <c r="H256" s="61"/>
      <c r="I256" s="61"/>
      <c r="J256" s="61"/>
      <c r="K256" s="61"/>
    </row>
    <row r="257">
      <c r="C257" s="61"/>
      <c r="H257" s="61"/>
      <c r="I257" s="61"/>
      <c r="J257" s="61"/>
      <c r="K257" s="61"/>
    </row>
    <row r="258">
      <c r="C258" s="61"/>
      <c r="H258" s="61"/>
      <c r="I258" s="61"/>
      <c r="J258" s="61"/>
      <c r="K258" s="61"/>
    </row>
    <row r="259">
      <c r="C259" s="61"/>
      <c r="H259" s="61"/>
      <c r="I259" s="61"/>
      <c r="J259" s="61"/>
      <c r="K259" s="61"/>
    </row>
    <row r="260">
      <c r="C260" s="61"/>
      <c r="H260" s="61"/>
      <c r="I260" s="61"/>
      <c r="J260" s="61"/>
      <c r="K260" s="61"/>
    </row>
    <row r="261">
      <c r="C261" s="61"/>
      <c r="H261" s="61"/>
      <c r="I261" s="61"/>
      <c r="J261" s="61"/>
      <c r="K261" s="61"/>
    </row>
    <row r="262">
      <c r="C262" s="61"/>
      <c r="H262" s="61"/>
      <c r="I262" s="61"/>
      <c r="J262" s="61"/>
      <c r="K262" s="61"/>
    </row>
    <row r="263">
      <c r="C263" s="61"/>
      <c r="H263" s="61"/>
      <c r="I263" s="61"/>
      <c r="J263" s="61"/>
      <c r="K263" s="61"/>
    </row>
    <row r="264">
      <c r="C264" s="61"/>
      <c r="H264" s="61"/>
      <c r="I264" s="61"/>
      <c r="J264" s="61"/>
      <c r="K264" s="61"/>
    </row>
    <row r="265">
      <c r="C265" s="61"/>
      <c r="H265" s="61"/>
      <c r="I265" s="61"/>
      <c r="J265" s="61"/>
      <c r="K265" s="61"/>
    </row>
    <row r="266">
      <c r="C266" s="61"/>
      <c r="H266" s="61"/>
      <c r="I266" s="61"/>
      <c r="J266" s="61"/>
      <c r="K266" s="61"/>
    </row>
    <row r="267">
      <c r="C267" s="61"/>
      <c r="H267" s="61"/>
      <c r="I267" s="61"/>
      <c r="J267" s="61"/>
      <c r="K267" s="61"/>
    </row>
    <row r="268">
      <c r="C268" s="61"/>
      <c r="H268" s="61"/>
      <c r="I268" s="61"/>
      <c r="J268" s="61"/>
      <c r="K268" s="61"/>
    </row>
    <row r="269">
      <c r="C269" s="61"/>
      <c r="H269" s="61"/>
      <c r="I269" s="61"/>
      <c r="J269" s="61"/>
      <c r="K269" s="61"/>
    </row>
    <row r="270">
      <c r="C270" s="61"/>
      <c r="H270" s="61"/>
      <c r="I270" s="61"/>
      <c r="J270" s="61"/>
      <c r="K270" s="61"/>
    </row>
    <row r="271">
      <c r="C271" s="61"/>
      <c r="H271" s="61"/>
      <c r="I271" s="61"/>
      <c r="J271" s="61"/>
      <c r="K271" s="61"/>
    </row>
    <row r="272">
      <c r="C272" s="61"/>
      <c r="H272" s="61"/>
      <c r="I272" s="61"/>
      <c r="J272" s="61"/>
      <c r="K272" s="61"/>
    </row>
    <row r="273">
      <c r="C273" s="61"/>
      <c r="H273" s="61"/>
      <c r="I273" s="61"/>
      <c r="J273" s="61"/>
      <c r="K273" s="61"/>
    </row>
    <row r="274">
      <c r="C274" s="61"/>
      <c r="H274" s="61"/>
      <c r="I274" s="61"/>
      <c r="J274" s="61"/>
      <c r="K274" s="61"/>
    </row>
    <row r="275">
      <c r="C275" s="61"/>
      <c r="H275" s="61"/>
      <c r="I275" s="61"/>
      <c r="J275" s="61"/>
      <c r="K275" s="61"/>
    </row>
    <row r="276">
      <c r="C276" s="61"/>
      <c r="H276" s="61"/>
      <c r="I276" s="61"/>
      <c r="J276" s="61"/>
      <c r="K276" s="61"/>
    </row>
    <row r="277">
      <c r="C277" s="61"/>
      <c r="H277" s="61"/>
      <c r="I277" s="61"/>
      <c r="J277" s="61"/>
      <c r="K277" s="61"/>
    </row>
    <row r="278">
      <c r="C278" s="61"/>
      <c r="H278" s="61"/>
      <c r="I278" s="61"/>
      <c r="J278" s="61"/>
      <c r="K278" s="61"/>
    </row>
    <row r="279">
      <c r="C279" s="61"/>
      <c r="H279" s="61"/>
      <c r="I279" s="61"/>
      <c r="J279" s="61"/>
      <c r="K279" s="61"/>
    </row>
    <row r="280">
      <c r="C280" s="61"/>
      <c r="H280" s="61"/>
      <c r="I280" s="61"/>
      <c r="J280" s="61"/>
      <c r="K280" s="61"/>
    </row>
    <row r="281">
      <c r="C281" s="61"/>
      <c r="H281" s="61"/>
      <c r="I281" s="61"/>
      <c r="J281" s="61"/>
      <c r="K281" s="61"/>
    </row>
    <row r="282">
      <c r="C282" s="61"/>
      <c r="H282" s="61"/>
      <c r="I282" s="61"/>
      <c r="J282" s="61"/>
      <c r="K282" s="61"/>
    </row>
    <row r="283">
      <c r="C283" s="61"/>
      <c r="H283" s="61"/>
      <c r="I283" s="61"/>
      <c r="J283" s="61"/>
      <c r="K283" s="61"/>
    </row>
    <row r="284">
      <c r="C284" s="61"/>
      <c r="H284" s="61"/>
      <c r="I284" s="61"/>
      <c r="J284" s="61"/>
      <c r="K284" s="61"/>
    </row>
    <row r="285">
      <c r="C285" s="61"/>
      <c r="H285" s="61"/>
      <c r="I285" s="61"/>
      <c r="J285" s="61"/>
      <c r="K285" s="61"/>
    </row>
    <row r="286">
      <c r="C286" s="61"/>
      <c r="H286" s="61"/>
      <c r="I286" s="61"/>
      <c r="J286" s="61"/>
      <c r="K286" s="61"/>
    </row>
    <row r="287">
      <c r="C287" s="61"/>
      <c r="H287" s="61"/>
      <c r="I287" s="61"/>
      <c r="J287" s="61"/>
      <c r="K287" s="61"/>
    </row>
    <row r="288">
      <c r="C288" s="61"/>
      <c r="H288" s="61"/>
      <c r="I288" s="61"/>
      <c r="J288" s="61"/>
      <c r="K288" s="61"/>
    </row>
    <row r="289">
      <c r="C289" s="61"/>
      <c r="H289" s="61"/>
      <c r="I289" s="61"/>
      <c r="J289" s="61"/>
      <c r="K289" s="61"/>
    </row>
    <row r="290">
      <c r="C290" s="61"/>
      <c r="H290" s="61"/>
      <c r="I290" s="61"/>
      <c r="J290" s="61"/>
      <c r="K290" s="61"/>
    </row>
    <row r="291">
      <c r="C291" s="61"/>
      <c r="H291" s="61"/>
      <c r="I291" s="61"/>
      <c r="J291" s="61"/>
      <c r="K291" s="61"/>
    </row>
    <row r="292">
      <c r="C292" s="61"/>
      <c r="H292" s="61"/>
      <c r="I292" s="61"/>
      <c r="J292" s="61"/>
      <c r="K292" s="61"/>
    </row>
    <row r="293">
      <c r="C293" s="61"/>
      <c r="H293" s="61"/>
      <c r="I293" s="61"/>
      <c r="J293" s="61"/>
      <c r="K293" s="61"/>
    </row>
    <row r="294">
      <c r="C294" s="61"/>
      <c r="H294" s="61"/>
      <c r="I294" s="61"/>
      <c r="J294" s="61"/>
      <c r="K294" s="61"/>
    </row>
    <row r="295">
      <c r="C295" s="61"/>
      <c r="H295" s="61"/>
      <c r="I295" s="61"/>
      <c r="J295" s="61"/>
      <c r="K295" s="61"/>
    </row>
    <row r="296">
      <c r="C296" s="61"/>
      <c r="H296" s="61"/>
      <c r="I296" s="61"/>
      <c r="J296" s="61"/>
      <c r="K296" s="61"/>
    </row>
    <row r="297">
      <c r="C297" s="61"/>
      <c r="H297" s="61"/>
      <c r="I297" s="61"/>
      <c r="J297" s="61"/>
      <c r="K297" s="61"/>
    </row>
    <row r="298">
      <c r="C298" s="61"/>
      <c r="H298" s="61"/>
      <c r="I298" s="61"/>
      <c r="J298" s="61"/>
      <c r="K298" s="61"/>
    </row>
    <row r="299">
      <c r="C299" s="61"/>
      <c r="H299" s="61"/>
      <c r="I299" s="61"/>
      <c r="J299" s="61"/>
      <c r="K299" s="61"/>
    </row>
    <row r="300">
      <c r="C300" s="61"/>
      <c r="H300" s="61"/>
      <c r="I300" s="61"/>
      <c r="J300" s="61"/>
      <c r="K300" s="61"/>
    </row>
    <row r="301">
      <c r="C301" s="61"/>
      <c r="H301" s="61"/>
      <c r="I301" s="61"/>
      <c r="J301" s="61"/>
      <c r="K301" s="61"/>
    </row>
    <row r="302">
      <c r="C302" s="61"/>
      <c r="H302" s="61"/>
      <c r="I302" s="61"/>
      <c r="J302" s="61"/>
      <c r="K302" s="61"/>
    </row>
    <row r="303">
      <c r="C303" s="61"/>
      <c r="H303" s="61"/>
      <c r="I303" s="61"/>
      <c r="J303" s="61"/>
      <c r="K303" s="61"/>
    </row>
    <row r="304">
      <c r="C304" s="61"/>
      <c r="H304" s="61"/>
      <c r="I304" s="61"/>
      <c r="J304" s="61"/>
      <c r="K304" s="61"/>
    </row>
    <row r="305">
      <c r="C305" s="61"/>
      <c r="H305" s="61"/>
      <c r="I305" s="61"/>
      <c r="J305" s="61"/>
      <c r="K305" s="61"/>
    </row>
    <row r="306">
      <c r="C306" s="61"/>
      <c r="H306" s="61"/>
      <c r="I306" s="61"/>
      <c r="J306" s="61"/>
      <c r="K306" s="61"/>
    </row>
    <row r="307">
      <c r="C307" s="61"/>
      <c r="H307" s="61"/>
      <c r="I307" s="61"/>
      <c r="J307" s="61"/>
      <c r="K307" s="61"/>
    </row>
    <row r="308">
      <c r="C308" s="61"/>
      <c r="H308" s="61"/>
      <c r="I308" s="61"/>
      <c r="J308" s="61"/>
      <c r="K308" s="61"/>
    </row>
    <row r="309">
      <c r="C309" s="61"/>
      <c r="H309" s="61"/>
      <c r="I309" s="61"/>
      <c r="J309" s="61"/>
      <c r="K309" s="61"/>
    </row>
    <row r="310">
      <c r="C310" s="61"/>
      <c r="H310" s="61"/>
      <c r="I310" s="61"/>
      <c r="J310" s="61"/>
      <c r="K310" s="61"/>
    </row>
    <row r="311">
      <c r="C311" s="61"/>
      <c r="H311" s="61"/>
      <c r="I311" s="61"/>
      <c r="J311" s="61"/>
      <c r="K311" s="61"/>
    </row>
    <row r="312">
      <c r="C312" s="61"/>
      <c r="H312" s="61"/>
      <c r="I312" s="61"/>
      <c r="J312" s="61"/>
      <c r="K312" s="61"/>
    </row>
    <row r="313">
      <c r="C313" s="61"/>
      <c r="H313" s="61"/>
      <c r="I313" s="61"/>
      <c r="J313" s="61"/>
      <c r="K313" s="61"/>
    </row>
    <row r="314">
      <c r="C314" s="61"/>
      <c r="H314" s="61"/>
      <c r="I314" s="61"/>
      <c r="J314" s="61"/>
      <c r="K314" s="61"/>
    </row>
    <row r="315">
      <c r="C315" s="61"/>
      <c r="H315" s="61"/>
      <c r="I315" s="61"/>
      <c r="J315" s="61"/>
      <c r="K315" s="61"/>
    </row>
    <row r="316">
      <c r="C316" s="61"/>
      <c r="H316" s="61"/>
      <c r="I316" s="61"/>
      <c r="J316" s="61"/>
      <c r="K316" s="61"/>
    </row>
    <row r="317">
      <c r="C317" s="61"/>
      <c r="H317" s="61"/>
      <c r="I317" s="61"/>
      <c r="J317" s="61"/>
      <c r="K317" s="61"/>
    </row>
    <row r="318">
      <c r="C318" s="61"/>
      <c r="H318" s="61"/>
      <c r="I318" s="61"/>
      <c r="J318" s="61"/>
      <c r="K318" s="61"/>
    </row>
    <row r="319">
      <c r="C319" s="61"/>
      <c r="H319" s="61"/>
      <c r="I319" s="61"/>
      <c r="J319" s="61"/>
      <c r="K319" s="61"/>
    </row>
    <row r="320">
      <c r="C320" s="61"/>
      <c r="H320" s="61"/>
      <c r="I320" s="61"/>
      <c r="J320" s="61"/>
      <c r="K320" s="61"/>
    </row>
    <row r="321">
      <c r="C321" s="61"/>
      <c r="H321" s="61"/>
      <c r="I321" s="61"/>
      <c r="J321" s="61"/>
      <c r="K321" s="61"/>
    </row>
    <row r="322">
      <c r="C322" s="61"/>
      <c r="H322" s="61"/>
      <c r="I322" s="61"/>
      <c r="J322" s="61"/>
      <c r="K322" s="61"/>
    </row>
    <row r="323">
      <c r="C323" s="61"/>
      <c r="H323" s="61"/>
      <c r="I323" s="61"/>
      <c r="J323" s="61"/>
      <c r="K323" s="61"/>
    </row>
    <row r="324">
      <c r="C324" s="61"/>
      <c r="H324" s="61"/>
      <c r="I324" s="61"/>
      <c r="J324" s="61"/>
      <c r="K324" s="61"/>
    </row>
    <row r="325">
      <c r="C325" s="61"/>
      <c r="H325" s="61"/>
      <c r="I325" s="61"/>
      <c r="J325" s="61"/>
      <c r="K325" s="61"/>
    </row>
    <row r="326">
      <c r="C326" s="61"/>
      <c r="H326" s="61"/>
      <c r="I326" s="61"/>
      <c r="J326" s="61"/>
      <c r="K326" s="61"/>
    </row>
    <row r="327">
      <c r="C327" s="61"/>
      <c r="H327" s="61"/>
      <c r="I327" s="61"/>
      <c r="J327" s="61"/>
      <c r="K327" s="61"/>
    </row>
    <row r="328">
      <c r="C328" s="61"/>
      <c r="H328" s="61"/>
      <c r="I328" s="61"/>
      <c r="J328" s="61"/>
      <c r="K328" s="61"/>
    </row>
    <row r="329">
      <c r="C329" s="61"/>
      <c r="H329" s="61"/>
      <c r="I329" s="61"/>
      <c r="J329" s="61"/>
      <c r="K329" s="61"/>
    </row>
    <row r="330">
      <c r="C330" s="61"/>
      <c r="H330" s="61"/>
      <c r="I330" s="61"/>
      <c r="J330" s="61"/>
      <c r="K330" s="61"/>
    </row>
    <row r="331">
      <c r="C331" s="61"/>
      <c r="H331" s="61"/>
      <c r="I331" s="61"/>
      <c r="J331" s="61"/>
      <c r="K331" s="61"/>
    </row>
    <row r="332">
      <c r="C332" s="61"/>
      <c r="H332" s="61"/>
      <c r="I332" s="61"/>
      <c r="J332" s="61"/>
      <c r="K332" s="61"/>
    </row>
    <row r="333">
      <c r="C333" s="61"/>
      <c r="H333" s="61"/>
      <c r="I333" s="61"/>
      <c r="J333" s="61"/>
      <c r="K333" s="61"/>
    </row>
    <row r="334">
      <c r="C334" s="61"/>
      <c r="H334" s="61"/>
      <c r="I334" s="61"/>
      <c r="J334" s="61"/>
      <c r="K334" s="61"/>
    </row>
    <row r="335">
      <c r="C335" s="61"/>
      <c r="H335" s="61"/>
      <c r="I335" s="61"/>
      <c r="J335" s="61"/>
      <c r="K335" s="61"/>
    </row>
    <row r="336">
      <c r="C336" s="61"/>
      <c r="H336" s="61"/>
      <c r="I336" s="61"/>
      <c r="J336" s="61"/>
      <c r="K336" s="61"/>
    </row>
    <row r="337">
      <c r="C337" s="61"/>
      <c r="H337" s="61"/>
      <c r="I337" s="61"/>
      <c r="J337" s="61"/>
      <c r="K337" s="61"/>
    </row>
    <row r="338">
      <c r="C338" s="61"/>
      <c r="H338" s="61"/>
      <c r="I338" s="61"/>
      <c r="J338" s="61"/>
      <c r="K338" s="61"/>
    </row>
    <row r="339">
      <c r="C339" s="61"/>
      <c r="H339" s="61"/>
      <c r="I339" s="61"/>
      <c r="J339" s="61"/>
      <c r="K339" s="61"/>
    </row>
    <row r="340">
      <c r="C340" s="61"/>
      <c r="H340" s="61"/>
      <c r="I340" s="61"/>
      <c r="J340" s="61"/>
      <c r="K340" s="61"/>
    </row>
    <row r="341">
      <c r="C341" s="61"/>
      <c r="H341" s="61"/>
      <c r="I341" s="61"/>
      <c r="J341" s="61"/>
      <c r="K341" s="61"/>
    </row>
    <row r="342">
      <c r="C342" s="61"/>
      <c r="H342" s="61"/>
      <c r="I342" s="61"/>
      <c r="J342" s="61"/>
      <c r="K342" s="61"/>
    </row>
    <row r="343">
      <c r="C343" s="61"/>
      <c r="H343" s="61"/>
      <c r="I343" s="61"/>
      <c r="J343" s="61"/>
      <c r="K343" s="61"/>
    </row>
    <row r="344">
      <c r="C344" s="61"/>
      <c r="H344" s="61"/>
      <c r="I344" s="61"/>
      <c r="J344" s="61"/>
      <c r="K344" s="61"/>
    </row>
    <row r="345">
      <c r="C345" s="61"/>
      <c r="H345" s="61"/>
      <c r="I345" s="61"/>
      <c r="J345" s="61"/>
      <c r="K345" s="61"/>
    </row>
    <row r="346">
      <c r="C346" s="61"/>
      <c r="H346" s="61"/>
      <c r="I346" s="61"/>
      <c r="J346" s="61"/>
      <c r="K346" s="61"/>
    </row>
    <row r="347">
      <c r="C347" s="61"/>
      <c r="H347" s="61"/>
      <c r="I347" s="61"/>
      <c r="J347" s="61"/>
      <c r="K347" s="61"/>
    </row>
    <row r="348">
      <c r="C348" s="61"/>
      <c r="H348" s="61"/>
      <c r="I348" s="61"/>
      <c r="J348" s="61"/>
      <c r="K348" s="61"/>
    </row>
    <row r="349">
      <c r="C349" s="61"/>
      <c r="H349" s="61"/>
      <c r="I349" s="61"/>
      <c r="J349" s="61"/>
      <c r="K349" s="61"/>
    </row>
    <row r="350">
      <c r="C350" s="61"/>
      <c r="H350" s="61"/>
      <c r="I350" s="61"/>
      <c r="J350" s="61"/>
      <c r="K350" s="61"/>
    </row>
    <row r="351">
      <c r="C351" s="61"/>
      <c r="H351" s="61"/>
      <c r="I351" s="61"/>
      <c r="J351" s="61"/>
      <c r="K351" s="61"/>
    </row>
    <row r="352">
      <c r="C352" s="61"/>
      <c r="H352" s="61"/>
      <c r="I352" s="61"/>
      <c r="J352" s="61"/>
      <c r="K352" s="61"/>
    </row>
    <row r="353">
      <c r="C353" s="61"/>
      <c r="H353" s="61"/>
      <c r="I353" s="61"/>
      <c r="J353" s="61"/>
      <c r="K353" s="61"/>
    </row>
    <row r="354">
      <c r="C354" s="61"/>
      <c r="H354" s="61"/>
      <c r="I354" s="61"/>
      <c r="J354" s="61"/>
      <c r="K354" s="61"/>
    </row>
    <row r="355">
      <c r="C355" s="61"/>
      <c r="H355" s="61"/>
      <c r="I355" s="61"/>
      <c r="J355" s="61"/>
      <c r="K355" s="61"/>
    </row>
    <row r="356">
      <c r="C356" s="61"/>
      <c r="H356" s="61"/>
      <c r="I356" s="61"/>
      <c r="J356" s="61"/>
      <c r="K356" s="61"/>
    </row>
    <row r="357">
      <c r="C357" s="61"/>
      <c r="H357" s="61"/>
      <c r="I357" s="61"/>
      <c r="J357" s="61"/>
      <c r="K357" s="61"/>
    </row>
    <row r="358">
      <c r="C358" s="61"/>
      <c r="H358" s="61"/>
      <c r="I358" s="61"/>
      <c r="J358" s="61"/>
      <c r="K358" s="61"/>
    </row>
    <row r="359">
      <c r="C359" s="61"/>
      <c r="H359" s="61"/>
      <c r="I359" s="61"/>
      <c r="J359" s="61"/>
      <c r="K359" s="61"/>
    </row>
    <row r="360">
      <c r="C360" s="61"/>
      <c r="H360" s="61"/>
      <c r="I360" s="61"/>
      <c r="J360" s="61"/>
      <c r="K360" s="61"/>
    </row>
    <row r="361">
      <c r="C361" s="61"/>
      <c r="H361" s="61"/>
      <c r="I361" s="61"/>
      <c r="J361" s="61"/>
      <c r="K361" s="61"/>
    </row>
    <row r="362">
      <c r="C362" s="61"/>
      <c r="H362" s="61"/>
      <c r="I362" s="61"/>
      <c r="J362" s="61"/>
      <c r="K362" s="61"/>
    </row>
    <row r="363">
      <c r="C363" s="61"/>
      <c r="H363" s="61"/>
      <c r="I363" s="61"/>
      <c r="J363" s="61"/>
      <c r="K363" s="61"/>
    </row>
    <row r="364">
      <c r="C364" s="61"/>
      <c r="H364" s="61"/>
      <c r="I364" s="61"/>
      <c r="J364" s="61"/>
      <c r="K364" s="61"/>
    </row>
    <row r="365">
      <c r="C365" s="61"/>
      <c r="H365" s="61"/>
      <c r="I365" s="61"/>
      <c r="J365" s="61"/>
      <c r="K365" s="61"/>
    </row>
    <row r="366">
      <c r="C366" s="61"/>
      <c r="H366" s="61"/>
      <c r="I366" s="61"/>
      <c r="J366" s="61"/>
      <c r="K366" s="61"/>
    </row>
    <row r="367">
      <c r="C367" s="61"/>
      <c r="H367" s="61"/>
      <c r="I367" s="61"/>
      <c r="J367" s="61"/>
      <c r="K367" s="61"/>
    </row>
    <row r="368">
      <c r="C368" s="61"/>
      <c r="H368" s="61"/>
      <c r="I368" s="61"/>
      <c r="J368" s="61"/>
      <c r="K368" s="61"/>
    </row>
    <row r="369">
      <c r="C369" s="61"/>
      <c r="H369" s="61"/>
      <c r="I369" s="61"/>
      <c r="J369" s="61"/>
      <c r="K369" s="61"/>
    </row>
    <row r="370">
      <c r="C370" s="61"/>
      <c r="H370" s="61"/>
      <c r="I370" s="61"/>
      <c r="J370" s="61"/>
      <c r="K370" s="61"/>
    </row>
    <row r="371">
      <c r="C371" s="61"/>
      <c r="H371" s="61"/>
      <c r="I371" s="61"/>
      <c r="J371" s="61"/>
      <c r="K371" s="61"/>
    </row>
    <row r="372">
      <c r="C372" s="61"/>
      <c r="H372" s="61"/>
      <c r="I372" s="61"/>
      <c r="J372" s="61"/>
      <c r="K372" s="61"/>
    </row>
    <row r="373">
      <c r="C373" s="61"/>
      <c r="H373" s="61"/>
      <c r="I373" s="61"/>
      <c r="J373" s="61"/>
      <c r="K373" s="61"/>
    </row>
    <row r="374">
      <c r="C374" s="61"/>
      <c r="H374" s="61"/>
      <c r="I374" s="61"/>
      <c r="J374" s="61"/>
      <c r="K374" s="61"/>
    </row>
    <row r="375">
      <c r="C375" s="61"/>
      <c r="H375" s="61"/>
      <c r="I375" s="61"/>
      <c r="J375" s="61"/>
      <c r="K375" s="61"/>
    </row>
    <row r="376">
      <c r="C376" s="61"/>
      <c r="H376" s="61"/>
      <c r="I376" s="61"/>
      <c r="J376" s="61"/>
      <c r="K376" s="61"/>
    </row>
    <row r="377">
      <c r="C377" s="61"/>
      <c r="H377" s="61"/>
      <c r="I377" s="61"/>
      <c r="J377" s="61"/>
      <c r="K377" s="61"/>
    </row>
    <row r="378">
      <c r="C378" s="61"/>
      <c r="H378" s="61"/>
      <c r="I378" s="61"/>
      <c r="J378" s="61"/>
      <c r="K378" s="61"/>
    </row>
    <row r="379">
      <c r="C379" s="61"/>
      <c r="H379" s="61"/>
      <c r="I379" s="61"/>
      <c r="J379" s="61"/>
      <c r="K379" s="61"/>
    </row>
    <row r="380">
      <c r="C380" s="61"/>
      <c r="H380" s="61"/>
      <c r="I380" s="61"/>
      <c r="J380" s="61"/>
      <c r="K380" s="61"/>
    </row>
    <row r="381">
      <c r="C381" s="61"/>
      <c r="H381" s="61"/>
      <c r="I381" s="61"/>
      <c r="J381" s="61"/>
      <c r="K381" s="61"/>
    </row>
    <row r="382">
      <c r="C382" s="61"/>
      <c r="H382" s="61"/>
      <c r="I382" s="61"/>
      <c r="J382" s="61"/>
      <c r="K382" s="61"/>
    </row>
    <row r="383">
      <c r="C383" s="61"/>
      <c r="H383" s="61"/>
      <c r="I383" s="61"/>
      <c r="J383" s="61"/>
      <c r="K383" s="61"/>
    </row>
    <row r="384">
      <c r="C384" s="61"/>
      <c r="H384" s="61"/>
      <c r="I384" s="61"/>
      <c r="J384" s="61"/>
      <c r="K384" s="61"/>
    </row>
    <row r="385">
      <c r="C385" s="61"/>
      <c r="H385" s="61"/>
      <c r="I385" s="61"/>
      <c r="J385" s="61"/>
      <c r="K385" s="61"/>
    </row>
    <row r="386">
      <c r="C386" s="61"/>
      <c r="H386" s="61"/>
      <c r="I386" s="61"/>
      <c r="J386" s="61"/>
      <c r="K386" s="61"/>
    </row>
    <row r="387">
      <c r="C387" s="61"/>
      <c r="H387" s="61"/>
      <c r="I387" s="61"/>
      <c r="J387" s="61"/>
      <c r="K387" s="61"/>
    </row>
    <row r="388">
      <c r="C388" s="61"/>
      <c r="H388" s="61"/>
      <c r="I388" s="61"/>
      <c r="J388" s="61"/>
      <c r="K388" s="61"/>
    </row>
    <row r="389">
      <c r="C389" s="61"/>
      <c r="H389" s="61"/>
      <c r="I389" s="61"/>
      <c r="J389" s="61"/>
      <c r="K389" s="61"/>
    </row>
    <row r="390">
      <c r="C390" s="61"/>
      <c r="H390" s="61"/>
      <c r="I390" s="61"/>
      <c r="J390" s="61"/>
      <c r="K390" s="61"/>
    </row>
    <row r="391">
      <c r="C391" s="61"/>
      <c r="H391" s="61"/>
      <c r="I391" s="61"/>
      <c r="J391" s="61"/>
      <c r="K391" s="61"/>
    </row>
    <row r="392">
      <c r="C392" s="61"/>
      <c r="H392" s="61"/>
      <c r="I392" s="61"/>
      <c r="J392" s="61"/>
      <c r="K392" s="61"/>
    </row>
    <row r="393">
      <c r="C393" s="61"/>
      <c r="H393" s="61"/>
      <c r="I393" s="61"/>
      <c r="J393" s="61"/>
      <c r="K393" s="61"/>
    </row>
    <row r="394">
      <c r="C394" s="61"/>
      <c r="H394" s="61"/>
      <c r="I394" s="61"/>
      <c r="J394" s="61"/>
      <c r="K394" s="61"/>
    </row>
    <row r="395">
      <c r="C395" s="61"/>
      <c r="H395" s="61"/>
      <c r="I395" s="61"/>
      <c r="J395" s="61"/>
      <c r="K395" s="61"/>
    </row>
    <row r="396">
      <c r="C396" s="61"/>
      <c r="H396" s="61"/>
      <c r="I396" s="61"/>
      <c r="J396" s="61"/>
      <c r="K396" s="61"/>
    </row>
    <row r="397">
      <c r="C397" s="61"/>
      <c r="H397" s="61"/>
      <c r="I397" s="61"/>
      <c r="J397" s="61"/>
      <c r="K397" s="61"/>
    </row>
    <row r="398">
      <c r="C398" s="61"/>
      <c r="H398" s="61"/>
      <c r="I398" s="61"/>
      <c r="J398" s="61"/>
      <c r="K398" s="61"/>
    </row>
    <row r="399">
      <c r="C399" s="61"/>
      <c r="H399" s="61"/>
      <c r="I399" s="61"/>
      <c r="J399" s="61"/>
      <c r="K399" s="61"/>
    </row>
    <row r="400">
      <c r="C400" s="61"/>
      <c r="H400" s="61"/>
      <c r="I400" s="61"/>
      <c r="J400" s="61"/>
      <c r="K400" s="61"/>
    </row>
    <row r="401">
      <c r="C401" s="61"/>
      <c r="H401" s="61"/>
      <c r="I401" s="61"/>
      <c r="J401" s="61"/>
      <c r="K401" s="61"/>
    </row>
    <row r="402">
      <c r="C402" s="61"/>
      <c r="H402" s="61"/>
      <c r="I402" s="61"/>
      <c r="J402" s="61"/>
      <c r="K402" s="61"/>
    </row>
    <row r="403">
      <c r="C403" s="61"/>
      <c r="H403" s="61"/>
      <c r="I403" s="61"/>
      <c r="J403" s="61"/>
      <c r="K403" s="61"/>
    </row>
    <row r="404">
      <c r="C404" s="61"/>
      <c r="H404" s="61"/>
      <c r="I404" s="61"/>
      <c r="J404" s="61"/>
      <c r="K404" s="61"/>
    </row>
    <row r="405">
      <c r="C405" s="61"/>
      <c r="H405" s="61"/>
      <c r="I405" s="61"/>
      <c r="J405" s="61"/>
      <c r="K405" s="61"/>
    </row>
    <row r="406">
      <c r="C406" s="61"/>
      <c r="H406" s="61"/>
      <c r="I406" s="61"/>
      <c r="J406" s="61"/>
      <c r="K406" s="61"/>
    </row>
    <row r="407">
      <c r="C407" s="61"/>
      <c r="H407" s="61"/>
      <c r="I407" s="61"/>
      <c r="J407" s="61"/>
      <c r="K407" s="61"/>
    </row>
    <row r="408">
      <c r="C408" s="61"/>
      <c r="H408" s="61"/>
      <c r="I408" s="61"/>
      <c r="J408" s="61"/>
      <c r="K408" s="61"/>
    </row>
    <row r="409">
      <c r="C409" s="61"/>
      <c r="H409" s="61"/>
      <c r="I409" s="61"/>
      <c r="J409" s="61"/>
      <c r="K409" s="61"/>
    </row>
    <row r="410">
      <c r="C410" s="61"/>
      <c r="H410" s="61"/>
      <c r="I410" s="61"/>
      <c r="J410" s="61"/>
      <c r="K410" s="61"/>
    </row>
    <row r="411">
      <c r="C411" s="61"/>
      <c r="H411" s="61"/>
      <c r="I411" s="61"/>
      <c r="J411" s="61"/>
      <c r="K411" s="61"/>
    </row>
    <row r="412">
      <c r="C412" s="61"/>
      <c r="H412" s="61"/>
      <c r="I412" s="61"/>
      <c r="J412" s="61"/>
      <c r="K412" s="61"/>
    </row>
    <row r="413">
      <c r="C413" s="61"/>
      <c r="H413" s="61"/>
      <c r="I413" s="61"/>
      <c r="J413" s="61"/>
      <c r="K413" s="61"/>
    </row>
    <row r="414">
      <c r="C414" s="61"/>
      <c r="H414" s="61"/>
      <c r="I414" s="61"/>
      <c r="J414" s="61"/>
      <c r="K414" s="61"/>
    </row>
    <row r="415">
      <c r="C415" s="61"/>
      <c r="H415" s="61"/>
      <c r="I415" s="61"/>
      <c r="J415" s="61"/>
      <c r="K415" s="61"/>
    </row>
    <row r="416">
      <c r="C416" s="61"/>
      <c r="H416" s="61"/>
      <c r="I416" s="61"/>
      <c r="J416" s="61"/>
      <c r="K416" s="61"/>
    </row>
    <row r="417">
      <c r="C417" s="61"/>
      <c r="H417" s="61"/>
      <c r="I417" s="61"/>
      <c r="J417" s="61"/>
      <c r="K417" s="61"/>
    </row>
    <row r="418">
      <c r="C418" s="61"/>
      <c r="H418" s="61"/>
      <c r="I418" s="61"/>
      <c r="J418" s="61"/>
      <c r="K418" s="61"/>
    </row>
    <row r="419">
      <c r="C419" s="61"/>
      <c r="H419" s="61"/>
      <c r="I419" s="61"/>
      <c r="J419" s="61"/>
      <c r="K419" s="61"/>
    </row>
    <row r="420">
      <c r="C420" s="61"/>
      <c r="H420" s="61"/>
      <c r="I420" s="61"/>
      <c r="J420" s="61"/>
      <c r="K420" s="61"/>
    </row>
    <row r="421">
      <c r="C421" s="61"/>
      <c r="H421" s="61"/>
      <c r="I421" s="61"/>
      <c r="J421" s="61"/>
      <c r="K421" s="61"/>
    </row>
    <row r="422">
      <c r="C422" s="61"/>
      <c r="H422" s="61"/>
      <c r="I422" s="61"/>
      <c r="J422" s="61"/>
      <c r="K422" s="61"/>
    </row>
    <row r="423">
      <c r="C423" s="61"/>
      <c r="H423" s="61"/>
      <c r="I423" s="61"/>
      <c r="J423" s="61"/>
      <c r="K423" s="61"/>
    </row>
    <row r="424">
      <c r="C424" s="61"/>
      <c r="H424" s="61"/>
      <c r="I424" s="61"/>
      <c r="J424" s="61"/>
      <c r="K424" s="61"/>
    </row>
    <row r="425">
      <c r="C425" s="61"/>
      <c r="H425" s="61"/>
      <c r="I425" s="61"/>
      <c r="J425" s="61"/>
      <c r="K425" s="61"/>
    </row>
    <row r="426">
      <c r="C426" s="61"/>
      <c r="H426" s="61"/>
      <c r="I426" s="61"/>
      <c r="J426" s="61"/>
      <c r="K426" s="61"/>
    </row>
    <row r="427">
      <c r="C427" s="61"/>
      <c r="H427" s="61"/>
      <c r="I427" s="61"/>
      <c r="J427" s="61"/>
      <c r="K427" s="61"/>
    </row>
    <row r="428">
      <c r="C428" s="61"/>
      <c r="H428" s="61"/>
      <c r="I428" s="61"/>
      <c r="J428" s="61"/>
      <c r="K428" s="61"/>
    </row>
    <row r="429">
      <c r="C429" s="61"/>
      <c r="H429" s="61"/>
      <c r="I429" s="61"/>
      <c r="J429" s="61"/>
      <c r="K429" s="61"/>
    </row>
    <row r="430">
      <c r="C430" s="61"/>
      <c r="H430" s="61"/>
      <c r="I430" s="61"/>
      <c r="J430" s="61"/>
      <c r="K430" s="61"/>
    </row>
    <row r="431">
      <c r="C431" s="61"/>
      <c r="H431" s="61"/>
      <c r="I431" s="61"/>
      <c r="J431" s="61"/>
      <c r="K431" s="61"/>
    </row>
    <row r="432">
      <c r="C432" s="61"/>
      <c r="H432" s="61"/>
      <c r="I432" s="61"/>
      <c r="J432" s="61"/>
      <c r="K432" s="61"/>
    </row>
    <row r="433">
      <c r="C433" s="61"/>
      <c r="H433" s="61"/>
      <c r="I433" s="61"/>
      <c r="J433" s="61"/>
      <c r="K433" s="61"/>
    </row>
    <row r="434">
      <c r="C434" s="61"/>
      <c r="H434" s="61"/>
      <c r="I434" s="61"/>
      <c r="J434" s="61"/>
      <c r="K434" s="61"/>
    </row>
    <row r="435">
      <c r="C435" s="61"/>
      <c r="H435" s="61"/>
      <c r="I435" s="61"/>
      <c r="J435" s="61"/>
      <c r="K435" s="61"/>
    </row>
    <row r="436">
      <c r="C436" s="61"/>
      <c r="H436" s="61"/>
      <c r="I436" s="61"/>
      <c r="J436" s="61"/>
      <c r="K436" s="61"/>
    </row>
    <row r="437">
      <c r="C437" s="61"/>
      <c r="H437" s="61"/>
      <c r="I437" s="61"/>
      <c r="J437" s="61"/>
      <c r="K437" s="61"/>
    </row>
    <row r="438">
      <c r="C438" s="61"/>
      <c r="H438" s="61"/>
      <c r="I438" s="61"/>
      <c r="J438" s="61"/>
      <c r="K438" s="61"/>
    </row>
    <row r="439">
      <c r="C439" s="61"/>
      <c r="H439" s="61"/>
      <c r="I439" s="61"/>
      <c r="J439" s="61"/>
      <c r="K439" s="61"/>
    </row>
    <row r="440">
      <c r="C440" s="61"/>
      <c r="H440" s="61"/>
      <c r="I440" s="61"/>
      <c r="J440" s="61"/>
      <c r="K440" s="61"/>
    </row>
    <row r="441">
      <c r="C441" s="61"/>
      <c r="H441" s="61"/>
      <c r="I441" s="61"/>
      <c r="J441" s="61"/>
      <c r="K441" s="61"/>
    </row>
    <row r="442">
      <c r="C442" s="61"/>
      <c r="H442" s="61"/>
      <c r="I442" s="61"/>
      <c r="J442" s="61"/>
      <c r="K442" s="61"/>
    </row>
    <row r="443">
      <c r="C443" s="61"/>
      <c r="H443" s="61"/>
      <c r="I443" s="61"/>
      <c r="J443" s="61"/>
      <c r="K443" s="61"/>
    </row>
    <row r="444">
      <c r="C444" s="61"/>
      <c r="H444" s="61"/>
      <c r="I444" s="61"/>
      <c r="J444" s="61"/>
      <c r="K444" s="61"/>
    </row>
    <row r="445">
      <c r="C445" s="61"/>
      <c r="H445" s="61"/>
      <c r="I445" s="61"/>
      <c r="J445" s="61"/>
      <c r="K445" s="61"/>
    </row>
    <row r="446">
      <c r="C446" s="61"/>
      <c r="H446" s="61"/>
      <c r="I446" s="61"/>
      <c r="J446" s="61"/>
      <c r="K446" s="61"/>
    </row>
    <row r="447">
      <c r="C447" s="61"/>
      <c r="H447" s="61"/>
      <c r="I447" s="61"/>
      <c r="J447" s="61"/>
      <c r="K447" s="61"/>
    </row>
    <row r="448">
      <c r="C448" s="61"/>
      <c r="H448" s="61"/>
      <c r="I448" s="61"/>
      <c r="J448" s="61"/>
      <c r="K448" s="61"/>
    </row>
    <row r="449">
      <c r="C449" s="61"/>
      <c r="H449" s="61"/>
      <c r="I449" s="61"/>
      <c r="J449" s="61"/>
      <c r="K449" s="61"/>
    </row>
    <row r="450">
      <c r="C450" s="61"/>
      <c r="H450" s="61"/>
      <c r="I450" s="61"/>
      <c r="J450" s="61"/>
      <c r="K450" s="61"/>
    </row>
    <row r="451">
      <c r="C451" s="61"/>
      <c r="H451" s="61"/>
      <c r="I451" s="61"/>
      <c r="J451" s="61"/>
      <c r="K451" s="61"/>
    </row>
    <row r="452">
      <c r="C452" s="61"/>
      <c r="H452" s="61"/>
      <c r="I452" s="61"/>
      <c r="J452" s="61"/>
      <c r="K452" s="61"/>
    </row>
    <row r="453">
      <c r="C453" s="61"/>
      <c r="H453" s="61"/>
      <c r="I453" s="61"/>
      <c r="J453" s="61"/>
      <c r="K453" s="61"/>
    </row>
    <row r="454">
      <c r="C454" s="61"/>
      <c r="H454" s="61"/>
      <c r="I454" s="61"/>
      <c r="J454" s="61"/>
      <c r="K454" s="61"/>
    </row>
    <row r="455">
      <c r="C455" s="61"/>
      <c r="H455" s="61"/>
      <c r="I455" s="61"/>
      <c r="J455" s="61"/>
      <c r="K455" s="61"/>
    </row>
    <row r="456">
      <c r="C456" s="61"/>
      <c r="H456" s="61"/>
      <c r="I456" s="61"/>
      <c r="J456" s="61"/>
      <c r="K456" s="61"/>
    </row>
    <row r="457">
      <c r="C457" s="61"/>
      <c r="H457" s="61"/>
      <c r="I457" s="61"/>
      <c r="J457" s="61"/>
      <c r="K457" s="61"/>
    </row>
    <row r="458">
      <c r="C458" s="61"/>
      <c r="H458" s="61"/>
      <c r="I458" s="61"/>
      <c r="J458" s="61"/>
      <c r="K458" s="61"/>
    </row>
    <row r="459">
      <c r="C459" s="61"/>
      <c r="H459" s="61"/>
      <c r="I459" s="61"/>
      <c r="J459" s="61"/>
      <c r="K459" s="61"/>
    </row>
    <row r="460">
      <c r="C460" s="61"/>
      <c r="H460" s="61"/>
      <c r="I460" s="61"/>
      <c r="J460" s="61"/>
      <c r="K460" s="61"/>
    </row>
    <row r="461">
      <c r="C461" s="61"/>
      <c r="H461" s="61"/>
      <c r="I461" s="61"/>
      <c r="J461" s="61"/>
      <c r="K461" s="61"/>
    </row>
    <row r="462">
      <c r="C462" s="61"/>
      <c r="H462" s="61"/>
      <c r="I462" s="61"/>
      <c r="J462" s="61"/>
      <c r="K462" s="61"/>
    </row>
    <row r="463">
      <c r="C463" s="61"/>
      <c r="H463" s="61"/>
      <c r="I463" s="61"/>
      <c r="J463" s="61"/>
      <c r="K463" s="61"/>
    </row>
    <row r="464">
      <c r="C464" s="61"/>
      <c r="H464" s="61"/>
      <c r="I464" s="61"/>
      <c r="J464" s="61"/>
      <c r="K464" s="61"/>
    </row>
    <row r="465">
      <c r="C465" s="61"/>
      <c r="H465" s="61"/>
      <c r="I465" s="61"/>
      <c r="J465" s="61"/>
      <c r="K465" s="61"/>
    </row>
    <row r="466">
      <c r="C466" s="61"/>
      <c r="H466" s="61"/>
      <c r="I466" s="61"/>
      <c r="J466" s="61"/>
      <c r="K466" s="61"/>
    </row>
    <row r="467">
      <c r="C467" s="61"/>
      <c r="H467" s="61"/>
      <c r="I467" s="61"/>
      <c r="J467" s="61"/>
      <c r="K467" s="61"/>
    </row>
    <row r="468">
      <c r="C468" s="61"/>
      <c r="H468" s="61"/>
      <c r="I468" s="61"/>
      <c r="J468" s="61"/>
      <c r="K468" s="61"/>
    </row>
    <row r="469">
      <c r="C469" s="61"/>
      <c r="H469" s="61"/>
      <c r="I469" s="61"/>
      <c r="J469" s="61"/>
      <c r="K469" s="61"/>
    </row>
    <row r="470">
      <c r="C470" s="61"/>
      <c r="H470" s="61"/>
      <c r="I470" s="61"/>
      <c r="J470" s="61"/>
      <c r="K470" s="61"/>
    </row>
    <row r="471">
      <c r="C471" s="61"/>
      <c r="H471" s="61"/>
      <c r="I471" s="61"/>
      <c r="J471" s="61"/>
      <c r="K471" s="61"/>
    </row>
    <row r="472">
      <c r="C472" s="61"/>
      <c r="H472" s="61"/>
      <c r="I472" s="61"/>
      <c r="J472" s="61"/>
      <c r="K472" s="61"/>
    </row>
    <row r="473">
      <c r="C473" s="61"/>
      <c r="H473" s="61"/>
      <c r="I473" s="61"/>
      <c r="J473" s="61"/>
      <c r="K473" s="61"/>
    </row>
    <row r="474">
      <c r="C474" s="61"/>
      <c r="H474" s="61"/>
      <c r="I474" s="61"/>
      <c r="J474" s="61"/>
      <c r="K474" s="61"/>
    </row>
    <row r="475">
      <c r="C475" s="61"/>
      <c r="H475" s="61"/>
      <c r="I475" s="61"/>
      <c r="J475" s="61"/>
      <c r="K475" s="61"/>
    </row>
    <row r="476">
      <c r="C476" s="61"/>
      <c r="H476" s="61"/>
      <c r="I476" s="61"/>
      <c r="J476" s="61"/>
      <c r="K476" s="61"/>
    </row>
    <row r="477">
      <c r="C477" s="61"/>
      <c r="H477" s="61"/>
      <c r="I477" s="61"/>
      <c r="J477" s="61"/>
      <c r="K477" s="61"/>
    </row>
    <row r="478">
      <c r="C478" s="61"/>
      <c r="H478" s="61"/>
      <c r="I478" s="61"/>
      <c r="J478" s="61"/>
      <c r="K478" s="61"/>
    </row>
    <row r="479">
      <c r="C479" s="61"/>
      <c r="H479" s="61"/>
      <c r="I479" s="61"/>
      <c r="J479" s="61"/>
      <c r="K479" s="61"/>
    </row>
    <row r="480">
      <c r="C480" s="61"/>
      <c r="H480" s="61"/>
      <c r="I480" s="61"/>
      <c r="J480" s="61"/>
      <c r="K480" s="61"/>
    </row>
    <row r="481">
      <c r="C481" s="61"/>
      <c r="H481" s="61"/>
      <c r="I481" s="61"/>
      <c r="J481" s="61"/>
      <c r="K481" s="61"/>
    </row>
    <row r="482">
      <c r="C482" s="61"/>
      <c r="H482" s="61"/>
      <c r="I482" s="61"/>
      <c r="J482" s="61"/>
      <c r="K482" s="61"/>
    </row>
    <row r="483">
      <c r="C483" s="61"/>
      <c r="H483" s="61"/>
      <c r="I483" s="61"/>
      <c r="J483" s="61"/>
      <c r="K483" s="61"/>
    </row>
    <row r="484">
      <c r="C484" s="61"/>
      <c r="H484" s="61"/>
      <c r="I484" s="61"/>
      <c r="J484" s="61"/>
      <c r="K484" s="61"/>
    </row>
    <row r="485">
      <c r="C485" s="61"/>
      <c r="H485" s="61"/>
      <c r="I485" s="61"/>
      <c r="J485" s="61"/>
      <c r="K485" s="61"/>
    </row>
    <row r="486">
      <c r="C486" s="61"/>
      <c r="H486" s="61"/>
      <c r="I486" s="61"/>
      <c r="J486" s="61"/>
      <c r="K486" s="61"/>
    </row>
    <row r="487">
      <c r="C487" s="61"/>
      <c r="H487" s="61"/>
      <c r="I487" s="61"/>
      <c r="J487" s="61"/>
      <c r="K487" s="61"/>
    </row>
    <row r="488">
      <c r="C488" s="61"/>
      <c r="H488" s="61"/>
      <c r="I488" s="61"/>
      <c r="J488" s="61"/>
      <c r="K488" s="61"/>
    </row>
    <row r="489">
      <c r="C489" s="61"/>
      <c r="H489" s="61"/>
      <c r="I489" s="61"/>
      <c r="J489" s="61"/>
      <c r="K489" s="61"/>
    </row>
    <row r="490">
      <c r="C490" s="61"/>
      <c r="H490" s="61"/>
      <c r="I490" s="61"/>
      <c r="J490" s="61"/>
      <c r="K490" s="61"/>
    </row>
    <row r="491">
      <c r="C491" s="61"/>
      <c r="H491" s="61"/>
      <c r="I491" s="61"/>
      <c r="J491" s="61"/>
      <c r="K491" s="61"/>
    </row>
    <row r="492">
      <c r="C492" s="61"/>
      <c r="H492" s="61"/>
      <c r="I492" s="61"/>
      <c r="J492" s="61"/>
      <c r="K492" s="61"/>
    </row>
    <row r="493">
      <c r="C493" s="61"/>
      <c r="H493" s="61"/>
      <c r="I493" s="61"/>
      <c r="J493" s="61"/>
      <c r="K493" s="61"/>
    </row>
    <row r="494">
      <c r="C494" s="61"/>
      <c r="H494" s="61"/>
      <c r="I494" s="61"/>
      <c r="J494" s="61"/>
      <c r="K494" s="61"/>
    </row>
    <row r="495">
      <c r="C495" s="61"/>
      <c r="H495" s="61"/>
      <c r="I495" s="61"/>
      <c r="J495" s="61"/>
      <c r="K495" s="61"/>
    </row>
    <row r="496">
      <c r="C496" s="61"/>
      <c r="H496" s="61"/>
      <c r="I496" s="61"/>
      <c r="J496" s="61"/>
      <c r="K496" s="61"/>
    </row>
    <row r="497">
      <c r="C497" s="61"/>
      <c r="H497" s="61"/>
      <c r="I497" s="61"/>
      <c r="J497" s="61"/>
      <c r="K497" s="61"/>
    </row>
    <row r="498">
      <c r="C498" s="61"/>
      <c r="H498" s="61"/>
      <c r="I498" s="61"/>
      <c r="J498" s="61"/>
      <c r="K498" s="61"/>
    </row>
    <row r="499">
      <c r="C499" s="61"/>
      <c r="H499" s="61"/>
      <c r="I499" s="61"/>
      <c r="J499" s="61"/>
      <c r="K499" s="61"/>
    </row>
    <row r="500">
      <c r="C500" s="61"/>
      <c r="H500" s="61"/>
      <c r="I500" s="61"/>
      <c r="J500" s="61"/>
      <c r="K500" s="61"/>
    </row>
    <row r="501">
      <c r="C501" s="61"/>
      <c r="H501" s="61"/>
      <c r="I501" s="61"/>
      <c r="J501" s="61"/>
      <c r="K501" s="61"/>
    </row>
    <row r="502">
      <c r="C502" s="61"/>
      <c r="H502" s="61"/>
      <c r="I502" s="61"/>
      <c r="J502" s="61"/>
      <c r="K502" s="61"/>
    </row>
    <row r="503">
      <c r="C503" s="61"/>
      <c r="H503" s="61"/>
      <c r="I503" s="61"/>
      <c r="J503" s="61"/>
      <c r="K503" s="61"/>
    </row>
    <row r="504">
      <c r="C504" s="61"/>
      <c r="H504" s="61"/>
      <c r="I504" s="61"/>
      <c r="J504" s="61"/>
      <c r="K504" s="61"/>
    </row>
    <row r="505">
      <c r="C505" s="61"/>
      <c r="H505" s="61"/>
      <c r="I505" s="61"/>
      <c r="J505" s="61"/>
      <c r="K505" s="61"/>
    </row>
    <row r="506">
      <c r="C506" s="61"/>
      <c r="H506" s="61"/>
      <c r="I506" s="61"/>
      <c r="J506" s="61"/>
      <c r="K506" s="61"/>
    </row>
    <row r="507">
      <c r="C507" s="61"/>
      <c r="H507" s="61"/>
      <c r="I507" s="61"/>
      <c r="J507" s="61"/>
      <c r="K507" s="61"/>
    </row>
    <row r="508">
      <c r="C508" s="61"/>
      <c r="H508" s="61"/>
      <c r="I508" s="61"/>
      <c r="J508" s="61"/>
      <c r="K508" s="61"/>
    </row>
    <row r="509">
      <c r="C509" s="61"/>
      <c r="H509" s="61"/>
      <c r="I509" s="61"/>
      <c r="J509" s="61"/>
      <c r="K509" s="61"/>
    </row>
    <row r="510">
      <c r="C510" s="61"/>
      <c r="H510" s="61"/>
      <c r="I510" s="61"/>
      <c r="J510" s="61"/>
      <c r="K510" s="61"/>
    </row>
    <row r="511">
      <c r="C511" s="61"/>
      <c r="H511" s="61"/>
      <c r="I511" s="61"/>
      <c r="J511" s="61"/>
      <c r="K511" s="61"/>
    </row>
    <row r="512">
      <c r="C512" s="61"/>
      <c r="H512" s="61"/>
      <c r="I512" s="61"/>
      <c r="J512" s="61"/>
      <c r="K512" s="61"/>
    </row>
    <row r="513">
      <c r="C513" s="61"/>
      <c r="H513" s="61"/>
      <c r="I513" s="61"/>
      <c r="J513" s="61"/>
      <c r="K513" s="61"/>
    </row>
    <row r="514">
      <c r="C514" s="61"/>
      <c r="H514" s="61"/>
      <c r="I514" s="61"/>
      <c r="J514" s="61"/>
      <c r="K514" s="61"/>
    </row>
    <row r="515">
      <c r="C515" s="61"/>
      <c r="H515" s="61"/>
      <c r="I515" s="61"/>
      <c r="J515" s="61"/>
      <c r="K515" s="61"/>
    </row>
    <row r="516">
      <c r="C516" s="61"/>
      <c r="H516" s="61"/>
      <c r="I516" s="61"/>
      <c r="J516" s="61"/>
      <c r="K516" s="61"/>
    </row>
    <row r="517">
      <c r="C517" s="61"/>
      <c r="H517" s="61"/>
      <c r="I517" s="61"/>
      <c r="J517" s="61"/>
      <c r="K517" s="61"/>
    </row>
    <row r="518">
      <c r="C518" s="61"/>
      <c r="H518" s="61"/>
      <c r="I518" s="61"/>
      <c r="J518" s="61"/>
      <c r="K518" s="61"/>
    </row>
    <row r="519">
      <c r="C519" s="61"/>
      <c r="H519" s="61"/>
      <c r="I519" s="61"/>
      <c r="J519" s="61"/>
      <c r="K519" s="61"/>
    </row>
    <row r="520">
      <c r="C520" s="61"/>
      <c r="H520" s="61"/>
      <c r="I520" s="61"/>
      <c r="J520" s="61"/>
      <c r="K520" s="61"/>
    </row>
    <row r="521">
      <c r="C521" s="61"/>
      <c r="H521" s="61"/>
      <c r="I521" s="61"/>
      <c r="J521" s="61"/>
      <c r="K521" s="61"/>
    </row>
    <row r="522">
      <c r="C522" s="61"/>
      <c r="H522" s="61"/>
      <c r="I522" s="61"/>
      <c r="J522" s="61"/>
      <c r="K522" s="61"/>
    </row>
    <row r="523">
      <c r="C523" s="61"/>
      <c r="H523" s="61"/>
      <c r="I523" s="61"/>
      <c r="J523" s="61"/>
      <c r="K523" s="61"/>
    </row>
    <row r="524">
      <c r="C524" s="61"/>
      <c r="H524" s="61"/>
      <c r="I524" s="61"/>
      <c r="J524" s="61"/>
      <c r="K524" s="61"/>
    </row>
    <row r="525">
      <c r="C525" s="61"/>
      <c r="H525" s="61"/>
      <c r="I525" s="61"/>
      <c r="J525" s="61"/>
      <c r="K525" s="61"/>
    </row>
    <row r="526">
      <c r="C526" s="61"/>
      <c r="H526" s="61"/>
      <c r="I526" s="61"/>
      <c r="J526" s="61"/>
      <c r="K526" s="61"/>
    </row>
    <row r="527">
      <c r="C527" s="61"/>
      <c r="H527" s="61"/>
      <c r="I527" s="61"/>
      <c r="J527" s="61"/>
      <c r="K527" s="61"/>
    </row>
    <row r="528">
      <c r="C528" s="61"/>
      <c r="H528" s="61"/>
      <c r="I528" s="61"/>
      <c r="J528" s="61"/>
      <c r="K528" s="61"/>
    </row>
    <row r="529">
      <c r="C529" s="61"/>
      <c r="H529" s="61"/>
      <c r="I529" s="61"/>
      <c r="J529" s="61"/>
      <c r="K529" s="61"/>
    </row>
    <row r="530">
      <c r="C530" s="61"/>
      <c r="H530" s="61"/>
      <c r="I530" s="61"/>
      <c r="J530" s="61"/>
      <c r="K530" s="61"/>
    </row>
    <row r="531">
      <c r="C531" s="61"/>
      <c r="H531" s="61"/>
      <c r="I531" s="61"/>
      <c r="J531" s="61"/>
      <c r="K531" s="61"/>
    </row>
    <row r="532">
      <c r="C532" s="61"/>
      <c r="H532" s="61"/>
      <c r="I532" s="61"/>
      <c r="J532" s="61"/>
      <c r="K532" s="61"/>
    </row>
    <row r="533">
      <c r="C533" s="61"/>
      <c r="H533" s="61"/>
      <c r="I533" s="61"/>
      <c r="J533" s="61"/>
      <c r="K533" s="61"/>
    </row>
    <row r="534">
      <c r="C534" s="61"/>
      <c r="H534" s="61"/>
      <c r="I534" s="61"/>
      <c r="J534" s="61"/>
      <c r="K534" s="61"/>
    </row>
    <row r="535">
      <c r="C535" s="61"/>
      <c r="H535" s="61"/>
      <c r="I535" s="61"/>
      <c r="J535" s="61"/>
      <c r="K535" s="61"/>
    </row>
    <row r="536">
      <c r="C536" s="61"/>
      <c r="H536" s="61"/>
      <c r="I536" s="61"/>
      <c r="J536" s="61"/>
      <c r="K536" s="61"/>
    </row>
    <row r="537">
      <c r="C537" s="61"/>
      <c r="H537" s="61"/>
      <c r="I537" s="61"/>
      <c r="J537" s="61"/>
      <c r="K537" s="61"/>
    </row>
    <row r="538">
      <c r="C538" s="61"/>
      <c r="H538" s="61"/>
      <c r="I538" s="61"/>
      <c r="J538" s="61"/>
      <c r="K538" s="61"/>
    </row>
    <row r="539">
      <c r="C539" s="61"/>
      <c r="H539" s="61"/>
      <c r="I539" s="61"/>
      <c r="J539" s="61"/>
      <c r="K539" s="61"/>
    </row>
    <row r="540">
      <c r="C540" s="61"/>
      <c r="H540" s="61"/>
      <c r="I540" s="61"/>
      <c r="J540" s="61"/>
      <c r="K540" s="61"/>
    </row>
    <row r="541">
      <c r="C541" s="61"/>
      <c r="H541" s="61"/>
      <c r="I541" s="61"/>
      <c r="J541" s="61"/>
      <c r="K541" s="61"/>
    </row>
    <row r="542">
      <c r="C542" s="61"/>
      <c r="H542" s="61"/>
      <c r="I542" s="61"/>
      <c r="J542" s="61"/>
      <c r="K542" s="61"/>
    </row>
    <row r="543">
      <c r="C543" s="61"/>
      <c r="H543" s="61"/>
      <c r="I543" s="61"/>
      <c r="J543" s="61"/>
      <c r="K543" s="61"/>
    </row>
    <row r="544">
      <c r="C544" s="61"/>
      <c r="H544" s="61"/>
      <c r="I544" s="61"/>
      <c r="J544" s="61"/>
      <c r="K544" s="61"/>
    </row>
    <row r="545">
      <c r="C545" s="61"/>
      <c r="H545" s="61"/>
      <c r="I545" s="61"/>
      <c r="J545" s="61"/>
      <c r="K545" s="61"/>
    </row>
    <row r="546">
      <c r="C546" s="61"/>
      <c r="H546" s="61"/>
      <c r="I546" s="61"/>
      <c r="J546" s="61"/>
      <c r="K546" s="61"/>
    </row>
    <row r="547">
      <c r="C547" s="61"/>
      <c r="H547" s="61"/>
      <c r="I547" s="61"/>
      <c r="J547" s="61"/>
      <c r="K547" s="61"/>
    </row>
    <row r="548">
      <c r="C548" s="61"/>
      <c r="H548" s="61"/>
      <c r="I548" s="61"/>
      <c r="J548" s="61"/>
      <c r="K548" s="61"/>
    </row>
    <row r="549">
      <c r="C549" s="61"/>
      <c r="H549" s="61"/>
      <c r="I549" s="61"/>
      <c r="J549" s="61"/>
      <c r="K549" s="61"/>
    </row>
    <row r="550">
      <c r="C550" s="61"/>
      <c r="H550" s="61"/>
      <c r="I550" s="61"/>
      <c r="J550" s="61"/>
      <c r="K550" s="61"/>
    </row>
    <row r="551">
      <c r="C551" s="61"/>
      <c r="H551" s="61"/>
      <c r="I551" s="61"/>
      <c r="J551" s="61"/>
      <c r="K551" s="61"/>
    </row>
    <row r="552">
      <c r="C552" s="61"/>
      <c r="H552" s="61"/>
      <c r="I552" s="61"/>
      <c r="J552" s="61"/>
      <c r="K552" s="61"/>
    </row>
    <row r="553">
      <c r="C553" s="61"/>
      <c r="H553" s="61"/>
      <c r="I553" s="61"/>
      <c r="J553" s="61"/>
      <c r="K553" s="61"/>
    </row>
    <row r="554">
      <c r="C554" s="61"/>
      <c r="H554" s="61"/>
      <c r="I554" s="61"/>
      <c r="J554" s="61"/>
      <c r="K554" s="61"/>
    </row>
    <row r="555">
      <c r="C555" s="61"/>
      <c r="H555" s="61"/>
      <c r="I555" s="61"/>
      <c r="J555" s="61"/>
      <c r="K555" s="61"/>
    </row>
    <row r="556">
      <c r="C556" s="61"/>
      <c r="H556" s="61"/>
      <c r="I556" s="61"/>
      <c r="J556" s="61"/>
      <c r="K556" s="61"/>
    </row>
    <row r="557">
      <c r="C557" s="61"/>
      <c r="H557" s="61"/>
      <c r="I557" s="61"/>
      <c r="J557" s="61"/>
      <c r="K557" s="61"/>
    </row>
    <row r="558">
      <c r="C558" s="61"/>
      <c r="H558" s="61"/>
      <c r="I558" s="61"/>
      <c r="J558" s="61"/>
      <c r="K558" s="61"/>
    </row>
    <row r="559">
      <c r="C559" s="61"/>
      <c r="H559" s="61"/>
      <c r="I559" s="61"/>
      <c r="J559" s="61"/>
      <c r="K559" s="61"/>
    </row>
    <row r="560">
      <c r="C560" s="61"/>
      <c r="H560" s="61"/>
      <c r="I560" s="61"/>
      <c r="J560" s="61"/>
      <c r="K560" s="61"/>
    </row>
    <row r="561">
      <c r="C561" s="61"/>
      <c r="H561" s="61"/>
      <c r="I561" s="61"/>
      <c r="J561" s="61"/>
      <c r="K561" s="61"/>
    </row>
    <row r="562">
      <c r="C562" s="61"/>
      <c r="H562" s="61"/>
      <c r="I562" s="61"/>
      <c r="J562" s="61"/>
      <c r="K562" s="61"/>
    </row>
    <row r="563">
      <c r="C563" s="61"/>
      <c r="H563" s="61"/>
      <c r="I563" s="61"/>
      <c r="J563" s="61"/>
      <c r="K563" s="61"/>
    </row>
    <row r="564">
      <c r="C564" s="61"/>
      <c r="H564" s="61"/>
      <c r="I564" s="61"/>
      <c r="J564" s="61"/>
      <c r="K564" s="61"/>
    </row>
    <row r="565">
      <c r="C565" s="61"/>
      <c r="H565" s="61"/>
      <c r="I565" s="61"/>
      <c r="J565" s="61"/>
      <c r="K565" s="61"/>
    </row>
    <row r="566">
      <c r="C566" s="61"/>
      <c r="H566" s="61"/>
      <c r="I566" s="61"/>
      <c r="J566" s="61"/>
      <c r="K566" s="61"/>
    </row>
    <row r="567">
      <c r="C567" s="61"/>
      <c r="H567" s="61"/>
      <c r="I567" s="61"/>
      <c r="J567" s="61"/>
      <c r="K567" s="61"/>
    </row>
    <row r="568">
      <c r="C568" s="61"/>
      <c r="H568" s="61"/>
      <c r="I568" s="61"/>
      <c r="J568" s="61"/>
      <c r="K568" s="61"/>
    </row>
    <row r="569">
      <c r="C569" s="61"/>
      <c r="H569" s="61"/>
      <c r="I569" s="61"/>
      <c r="J569" s="61"/>
      <c r="K569" s="61"/>
    </row>
    <row r="570">
      <c r="C570" s="61"/>
      <c r="H570" s="61"/>
      <c r="I570" s="61"/>
      <c r="J570" s="61"/>
      <c r="K570" s="61"/>
    </row>
    <row r="571">
      <c r="C571" s="61"/>
      <c r="H571" s="61"/>
      <c r="I571" s="61"/>
      <c r="J571" s="61"/>
      <c r="K571" s="61"/>
    </row>
    <row r="572">
      <c r="C572" s="61"/>
      <c r="H572" s="61"/>
      <c r="I572" s="61"/>
      <c r="J572" s="61"/>
      <c r="K572" s="61"/>
    </row>
    <row r="573">
      <c r="C573" s="61"/>
      <c r="H573" s="61"/>
      <c r="I573" s="61"/>
      <c r="J573" s="61"/>
      <c r="K573" s="61"/>
    </row>
    <row r="574">
      <c r="C574" s="61"/>
      <c r="H574" s="61"/>
      <c r="I574" s="61"/>
      <c r="J574" s="61"/>
      <c r="K574" s="61"/>
    </row>
    <row r="575">
      <c r="C575" s="61"/>
      <c r="H575" s="61"/>
      <c r="I575" s="61"/>
      <c r="J575" s="61"/>
      <c r="K575" s="61"/>
    </row>
    <row r="576">
      <c r="C576" s="61"/>
      <c r="H576" s="61"/>
      <c r="I576" s="61"/>
      <c r="J576" s="61"/>
      <c r="K576" s="61"/>
    </row>
    <row r="577">
      <c r="C577" s="61"/>
      <c r="H577" s="61"/>
      <c r="I577" s="61"/>
      <c r="J577" s="61"/>
      <c r="K577" s="61"/>
    </row>
    <row r="578">
      <c r="C578" s="61"/>
      <c r="H578" s="61"/>
      <c r="I578" s="61"/>
      <c r="J578" s="61"/>
      <c r="K578" s="61"/>
    </row>
    <row r="579">
      <c r="C579" s="61"/>
      <c r="H579" s="61"/>
      <c r="I579" s="61"/>
      <c r="J579" s="61"/>
      <c r="K579" s="61"/>
    </row>
    <row r="580">
      <c r="C580" s="61"/>
      <c r="H580" s="61"/>
      <c r="I580" s="61"/>
      <c r="J580" s="61"/>
      <c r="K580" s="61"/>
    </row>
    <row r="581">
      <c r="C581" s="61"/>
      <c r="H581" s="61"/>
      <c r="I581" s="61"/>
      <c r="J581" s="61"/>
      <c r="K581" s="61"/>
    </row>
    <row r="582">
      <c r="C582" s="61"/>
      <c r="H582" s="61"/>
      <c r="I582" s="61"/>
      <c r="J582" s="61"/>
      <c r="K582" s="61"/>
    </row>
    <row r="583">
      <c r="C583" s="61"/>
      <c r="H583" s="61"/>
      <c r="I583" s="61"/>
      <c r="J583" s="61"/>
      <c r="K583" s="61"/>
    </row>
    <row r="584">
      <c r="C584" s="61"/>
      <c r="H584" s="61"/>
      <c r="I584" s="61"/>
      <c r="J584" s="61"/>
      <c r="K584" s="61"/>
    </row>
    <row r="585">
      <c r="C585" s="61"/>
      <c r="H585" s="61"/>
      <c r="I585" s="61"/>
      <c r="J585" s="61"/>
      <c r="K585" s="61"/>
    </row>
    <row r="586">
      <c r="C586" s="61"/>
      <c r="H586" s="61"/>
      <c r="I586" s="61"/>
      <c r="J586" s="61"/>
      <c r="K586" s="61"/>
    </row>
    <row r="587">
      <c r="C587" s="61"/>
      <c r="H587" s="61"/>
      <c r="I587" s="61"/>
      <c r="J587" s="61"/>
      <c r="K587" s="61"/>
    </row>
    <row r="588">
      <c r="C588" s="61"/>
      <c r="H588" s="61"/>
      <c r="I588" s="61"/>
      <c r="J588" s="61"/>
      <c r="K588" s="61"/>
    </row>
    <row r="589">
      <c r="C589" s="61"/>
      <c r="H589" s="61"/>
      <c r="I589" s="61"/>
      <c r="J589" s="61"/>
      <c r="K589" s="61"/>
    </row>
    <row r="590">
      <c r="C590" s="61"/>
      <c r="H590" s="61"/>
      <c r="I590" s="61"/>
      <c r="J590" s="61"/>
      <c r="K590" s="61"/>
    </row>
    <row r="591">
      <c r="C591" s="61"/>
      <c r="H591" s="61"/>
      <c r="I591" s="61"/>
      <c r="J591" s="61"/>
      <c r="K591" s="61"/>
    </row>
    <row r="592">
      <c r="C592" s="61"/>
      <c r="H592" s="61"/>
      <c r="I592" s="61"/>
      <c r="J592" s="61"/>
      <c r="K592" s="61"/>
    </row>
    <row r="593">
      <c r="C593" s="61"/>
      <c r="H593" s="61"/>
      <c r="I593" s="61"/>
      <c r="J593" s="61"/>
      <c r="K593" s="61"/>
    </row>
    <row r="594">
      <c r="C594" s="61"/>
      <c r="H594" s="61"/>
      <c r="I594" s="61"/>
      <c r="J594" s="61"/>
      <c r="K594" s="61"/>
    </row>
    <row r="595">
      <c r="C595" s="61"/>
      <c r="H595" s="61"/>
      <c r="I595" s="61"/>
      <c r="J595" s="61"/>
      <c r="K595" s="61"/>
    </row>
    <row r="596">
      <c r="C596" s="61"/>
      <c r="H596" s="61"/>
      <c r="I596" s="61"/>
      <c r="J596" s="61"/>
      <c r="K596" s="61"/>
    </row>
    <row r="597">
      <c r="C597" s="61"/>
      <c r="H597" s="61"/>
      <c r="I597" s="61"/>
      <c r="J597" s="61"/>
      <c r="K597" s="61"/>
    </row>
    <row r="598">
      <c r="C598" s="61"/>
      <c r="H598" s="61"/>
      <c r="I598" s="61"/>
      <c r="J598" s="61"/>
      <c r="K598" s="61"/>
    </row>
    <row r="599">
      <c r="C599" s="61"/>
      <c r="H599" s="61"/>
      <c r="I599" s="61"/>
      <c r="J599" s="61"/>
      <c r="K599" s="61"/>
    </row>
    <row r="600">
      <c r="C600" s="61"/>
      <c r="H600" s="61"/>
      <c r="I600" s="61"/>
      <c r="J600" s="61"/>
      <c r="K600" s="61"/>
    </row>
    <row r="601">
      <c r="C601" s="61"/>
      <c r="H601" s="61"/>
      <c r="I601" s="61"/>
      <c r="J601" s="61"/>
      <c r="K601" s="61"/>
    </row>
    <row r="602">
      <c r="C602" s="61"/>
      <c r="H602" s="61"/>
      <c r="I602" s="61"/>
      <c r="J602" s="61"/>
      <c r="K602" s="61"/>
    </row>
    <row r="603">
      <c r="C603" s="61"/>
      <c r="H603" s="61"/>
      <c r="I603" s="61"/>
      <c r="J603" s="61"/>
      <c r="K603" s="61"/>
    </row>
    <row r="604">
      <c r="C604" s="61"/>
      <c r="H604" s="61"/>
      <c r="I604" s="61"/>
      <c r="J604" s="61"/>
      <c r="K604" s="61"/>
    </row>
    <row r="605">
      <c r="C605" s="61"/>
      <c r="H605" s="61"/>
      <c r="I605" s="61"/>
      <c r="J605" s="61"/>
      <c r="K605" s="61"/>
    </row>
    <row r="606">
      <c r="C606" s="61"/>
      <c r="H606" s="61"/>
      <c r="I606" s="61"/>
      <c r="J606" s="61"/>
      <c r="K606" s="61"/>
    </row>
    <row r="607">
      <c r="C607" s="61"/>
      <c r="H607" s="61"/>
      <c r="I607" s="61"/>
      <c r="J607" s="61"/>
      <c r="K607" s="61"/>
    </row>
    <row r="608">
      <c r="C608" s="61"/>
      <c r="H608" s="61"/>
      <c r="I608" s="61"/>
      <c r="J608" s="61"/>
      <c r="K608" s="61"/>
    </row>
    <row r="609">
      <c r="C609" s="61"/>
      <c r="H609" s="61"/>
      <c r="I609" s="61"/>
      <c r="J609" s="61"/>
      <c r="K609" s="61"/>
    </row>
    <row r="610">
      <c r="C610" s="61"/>
      <c r="H610" s="61"/>
      <c r="I610" s="61"/>
      <c r="J610" s="61"/>
      <c r="K610" s="61"/>
    </row>
    <row r="611">
      <c r="C611" s="61"/>
      <c r="H611" s="61"/>
      <c r="I611" s="61"/>
      <c r="J611" s="61"/>
      <c r="K611" s="61"/>
    </row>
    <row r="612">
      <c r="C612" s="61"/>
      <c r="H612" s="61"/>
      <c r="I612" s="61"/>
      <c r="J612" s="61"/>
      <c r="K612" s="61"/>
    </row>
    <row r="613">
      <c r="C613" s="61"/>
      <c r="H613" s="61"/>
      <c r="I613" s="61"/>
      <c r="J613" s="61"/>
      <c r="K613" s="61"/>
    </row>
    <row r="614">
      <c r="C614" s="61"/>
      <c r="H614" s="61"/>
      <c r="I614" s="61"/>
      <c r="J614" s="61"/>
      <c r="K614" s="61"/>
    </row>
    <row r="615">
      <c r="C615" s="61"/>
      <c r="H615" s="61"/>
      <c r="I615" s="61"/>
      <c r="J615" s="61"/>
      <c r="K615" s="61"/>
    </row>
    <row r="616">
      <c r="C616" s="61"/>
      <c r="H616" s="61"/>
      <c r="I616" s="61"/>
      <c r="J616" s="61"/>
      <c r="K616" s="61"/>
    </row>
    <row r="617">
      <c r="C617" s="61"/>
      <c r="H617" s="61"/>
      <c r="I617" s="61"/>
      <c r="J617" s="61"/>
      <c r="K617" s="61"/>
    </row>
    <row r="618">
      <c r="C618" s="61"/>
      <c r="H618" s="61"/>
      <c r="I618" s="61"/>
      <c r="J618" s="61"/>
      <c r="K618" s="61"/>
    </row>
    <row r="619">
      <c r="C619" s="61"/>
      <c r="H619" s="61"/>
      <c r="I619" s="61"/>
      <c r="J619" s="61"/>
      <c r="K619" s="61"/>
    </row>
    <row r="620">
      <c r="C620" s="61"/>
      <c r="H620" s="61"/>
      <c r="I620" s="61"/>
      <c r="J620" s="61"/>
      <c r="K620" s="61"/>
    </row>
    <row r="621">
      <c r="C621" s="61"/>
      <c r="H621" s="61"/>
      <c r="I621" s="61"/>
      <c r="J621" s="61"/>
      <c r="K621" s="61"/>
    </row>
    <row r="622">
      <c r="C622" s="61"/>
      <c r="H622" s="61"/>
      <c r="I622" s="61"/>
      <c r="J622" s="61"/>
      <c r="K622" s="61"/>
    </row>
    <row r="623">
      <c r="C623" s="61"/>
      <c r="H623" s="61"/>
      <c r="I623" s="61"/>
      <c r="J623" s="61"/>
      <c r="K623" s="61"/>
    </row>
    <row r="624">
      <c r="C624" s="61"/>
      <c r="H624" s="61"/>
      <c r="I624" s="61"/>
      <c r="J624" s="61"/>
      <c r="K624" s="61"/>
    </row>
    <row r="625">
      <c r="C625" s="61"/>
      <c r="H625" s="61"/>
      <c r="I625" s="61"/>
      <c r="J625" s="61"/>
      <c r="K625" s="61"/>
    </row>
    <row r="626">
      <c r="C626" s="61"/>
      <c r="H626" s="61"/>
      <c r="I626" s="61"/>
      <c r="J626" s="61"/>
      <c r="K626" s="61"/>
    </row>
    <row r="627">
      <c r="C627" s="61"/>
      <c r="H627" s="61"/>
      <c r="I627" s="61"/>
      <c r="J627" s="61"/>
      <c r="K627" s="61"/>
    </row>
    <row r="628">
      <c r="C628" s="61"/>
      <c r="H628" s="61"/>
      <c r="I628" s="61"/>
      <c r="J628" s="61"/>
      <c r="K628" s="61"/>
    </row>
    <row r="629">
      <c r="C629" s="61"/>
      <c r="H629" s="61"/>
      <c r="I629" s="61"/>
      <c r="J629" s="61"/>
      <c r="K629" s="61"/>
    </row>
    <row r="630">
      <c r="C630" s="61"/>
      <c r="H630" s="61"/>
      <c r="I630" s="61"/>
      <c r="J630" s="61"/>
      <c r="K630" s="61"/>
    </row>
    <row r="631">
      <c r="C631" s="61"/>
      <c r="H631" s="61"/>
      <c r="I631" s="61"/>
      <c r="J631" s="61"/>
      <c r="K631" s="61"/>
    </row>
    <row r="632">
      <c r="C632" s="61"/>
      <c r="H632" s="61"/>
      <c r="I632" s="61"/>
      <c r="J632" s="61"/>
      <c r="K632" s="61"/>
    </row>
    <row r="633">
      <c r="C633" s="61"/>
      <c r="H633" s="61"/>
      <c r="I633" s="61"/>
      <c r="J633" s="61"/>
      <c r="K633" s="61"/>
    </row>
    <row r="634">
      <c r="C634" s="61"/>
      <c r="H634" s="61"/>
      <c r="I634" s="61"/>
      <c r="J634" s="61"/>
      <c r="K634" s="61"/>
    </row>
    <row r="635">
      <c r="C635" s="61"/>
      <c r="H635" s="61"/>
      <c r="I635" s="61"/>
      <c r="J635" s="61"/>
      <c r="K635" s="61"/>
    </row>
    <row r="636">
      <c r="C636" s="61"/>
      <c r="H636" s="61"/>
      <c r="I636" s="61"/>
      <c r="J636" s="61"/>
      <c r="K636" s="61"/>
    </row>
    <row r="637">
      <c r="C637" s="61"/>
      <c r="H637" s="61"/>
      <c r="I637" s="61"/>
      <c r="J637" s="61"/>
      <c r="K637" s="61"/>
    </row>
    <row r="638">
      <c r="C638" s="61"/>
      <c r="H638" s="61"/>
      <c r="I638" s="61"/>
      <c r="J638" s="61"/>
      <c r="K638" s="61"/>
    </row>
    <row r="639">
      <c r="C639" s="61"/>
      <c r="H639" s="61"/>
      <c r="I639" s="61"/>
      <c r="J639" s="61"/>
      <c r="K639" s="61"/>
    </row>
    <row r="640">
      <c r="C640" s="61"/>
      <c r="H640" s="61"/>
      <c r="I640" s="61"/>
      <c r="J640" s="61"/>
      <c r="K640" s="61"/>
    </row>
    <row r="641">
      <c r="C641" s="61"/>
      <c r="H641" s="61"/>
      <c r="I641" s="61"/>
      <c r="J641" s="61"/>
      <c r="K641" s="61"/>
    </row>
    <row r="642">
      <c r="C642" s="61"/>
      <c r="H642" s="61"/>
      <c r="I642" s="61"/>
      <c r="J642" s="61"/>
      <c r="K642" s="61"/>
    </row>
    <row r="643">
      <c r="C643" s="61"/>
      <c r="H643" s="61"/>
      <c r="I643" s="61"/>
      <c r="J643" s="61"/>
      <c r="K643" s="61"/>
    </row>
    <row r="644">
      <c r="C644" s="61"/>
      <c r="H644" s="61"/>
      <c r="I644" s="61"/>
      <c r="J644" s="61"/>
      <c r="K644" s="61"/>
    </row>
    <row r="645">
      <c r="C645" s="61"/>
      <c r="H645" s="61"/>
      <c r="I645" s="61"/>
      <c r="J645" s="61"/>
      <c r="K645" s="61"/>
    </row>
    <row r="646">
      <c r="C646" s="61"/>
      <c r="H646" s="61"/>
      <c r="I646" s="61"/>
      <c r="J646" s="61"/>
      <c r="K646" s="61"/>
    </row>
    <row r="647">
      <c r="C647" s="61"/>
      <c r="H647" s="61"/>
      <c r="I647" s="61"/>
      <c r="J647" s="61"/>
      <c r="K647" s="61"/>
    </row>
    <row r="648">
      <c r="C648" s="61"/>
      <c r="H648" s="61"/>
      <c r="I648" s="61"/>
      <c r="J648" s="61"/>
      <c r="K648" s="61"/>
    </row>
    <row r="649">
      <c r="C649" s="61"/>
      <c r="H649" s="61"/>
      <c r="I649" s="61"/>
      <c r="J649" s="61"/>
      <c r="K649" s="61"/>
    </row>
    <row r="650">
      <c r="C650" s="61"/>
      <c r="H650" s="61"/>
      <c r="I650" s="61"/>
      <c r="J650" s="61"/>
      <c r="K650" s="61"/>
    </row>
    <row r="651">
      <c r="C651" s="61"/>
      <c r="H651" s="61"/>
      <c r="I651" s="61"/>
      <c r="J651" s="61"/>
      <c r="K651" s="61"/>
    </row>
    <row r="652">
      <c r="C652" s="61"/>
      <c r="H652" s="61"/>
      <c r="I652" s="61"/>
      <c r="J652" s="61"/>
      <c r="K652" s="61"/>
    </row>
    <row r="653">
      <c r="C653" s="61"/>
      <c r="H653" s="61"/>
      <c r="I653" s="61"/>
      <c r="J653" s="61"/>
      <c r="K653" s="61"/>
    </row>
    <row r="654">
      <c r="C654" s="61"/>
      <c r="H654" s="61"/>
      <c r="I654" s="61"/>
      <c r="J654" s="61"/>
      <c r="K654" s="61"/>
    </row>
    <row r="655">
      <c r="C655" s="61"/>
      <c r="H655" s="61"/>
      <c r="I655" s="61"/>
      <c r="J655" s="61"/>
      <c r="K655" s="61"/>
    </row>
    <row r="656">
      <c r="C656" s="61"/>
      <c r="H656" s="61"/>
      <c r="I656" s="61"/>
      <c r="J656" s="61"/>
      <c r="K656" s="61"/>
    </row>
    <row r="657">
      <c r="C657" s="61"/>
      <c r="H657" s="61"/>
      <c r="I657" s="61"/>
      <c r="J657" s="61"/>
      <c r="K657" s="61"/>
    </row>
    <row r="658">
      <c r="C658" s="61"/>
      <c r="H658" s="61"/>
      <c r="I658" s="61"/>
      <c r="J658" s="61"/>
      <c r="K658" s="61"/>
    </row>
    <row r="659">
      <c r="C659" s="61"/>
      <c r="H659" s="61"/>
      <c r="I659" s="61"/>
      <c r="J659" s="61"/>
      <c r="K659" s="61"/>
    </row>
    <row r="660">
      <c r="C660" s="61"/>
      <c r="H660" s="61"/>
      <c r="I660" s="61"/>
      <c r="J660" s="61"/>
      <c r="K660" s="61"/>
    </row>
    <row r="661">
      <c r="C661" s="61"/>
      <c r="H661" s="61"/>
      <c r="I661" s="61"/>
      <c r="J661" s="61"/>
      <c r="K661" s="61"/>
    </row>
    <row r="662">
      <c r="C662" s="61"/>
      <c r="H662" s="61"/>
      <c r="I662" s="61"/>
      <c r="J662" s="61"/>
      <c r="K662" s="61"/>
    </row>
    <row r="663">
      <c r="C663" s="61"/>
      <c r="H663" s="61"/>
      <c r="I663" s="61"/>
      <c r="J663" s="61"/>
      <c r="K663" s="61"/>
    </row>
    <row r="664">
      <c r="C664" s="61"/>
      <c r="H664" s="61"/>
      <c r="I664" s="61"/>
      <c r="J664" s="61"/>
      <c r="K664" s="61"/>
    </row>
    <row r="665">
      <c r="C665" s="61"/>
      <c r="H665" s="61"/>
      <c r="I665" s="61"/>
      <c r="J665" s="61"/>
      <c r="K665" s="61"/>
    </row>
    <row r="666">
      <c r="C666" s="61"/>
      <c r="H666" s="61"/>
      <c r="I666" s="61"/>
      <c r="J666" s="61"/>
      <c r="K666" s="61"/>
    </row>
    <row r="667">
      <c r="C667" s="61"/>
      <c r="H667" s="61"/>
      <c r="I667" s="61"/>
      <c r="J667" s="61"/>
      <c r="K667" s="61"/>
    </row>
    <row r="668">
      <c r="C668" s="61"/>
      <c r="H668" s="61"/>
      <c r="I668" s="61"/>
      <c r="J668" s="61"/>
      <c r="K668" s="61"/>
    </row>
    <row r="669">
      <c r="C669" s="61"/>
      <c r="H669" s="61"/>
      <c r="I669" s="61"/>
      <c r="J669" s="61"/>
      <c r="K669" s="61"/>
    </row>
    <row r="670">
      <c r="C670" s="61"/>
      <c r="H670" s="61"/>
      <c r="I670" s="61"/>
      <c r="J670" s="61"/>
      <c r="K670" s="61"/>
    </row>
    <row r="671">
      <c r="C671" s="61"/>
      <c r="H671" s="61"/>
      <c r="I671" s="61"/>
      <c r="J671" s="61"/>
      <c r="K671" s="61"/>
    </row>
    <row r="672">
      <c r="C672" s="61"/>
      <c r="H672" s="61"/>
      <c r="I672" s="61"/>
      <c r="J672" s="61"/>
      <c r="K672" s="61"/>
    </row>
    <row r="673">
      <c r="C673" s="61"/>
      <c r="H673" s="61"/>
      <c r="I673" s="61"/>
      <c r="J673" s="61"/>
      <c r="K673" s="61"/>
    </row>
    <row r="674">
      <c r="C674" s="61"/>
      <c r="H674" s="61"/>
      <c r="I674" s="61"/>
      <c r="J674" s="61"/>
      <c r="K674" s="61"/>
    </row>
    <row r="675">
      <c r="C675" s="61"/>
      <c r="H675" s="61"/>
      <c r="I675" s="61"/>
      <c r="J675" s="61"/>
      <c r="K675" s="61"/>
    </row>
    <row r="676">
      <c r="C676" s="61"/>
      <c r="H676" s="61"/>
      <c r="I676" s="61"/>
      <c r="J676" s="61"/>
      <c r="K676" s="61"/>
    </row>
    <row r="677">
      <c r="C677" s="61"/>
      <c r="H677" s="61"/>
      <c r="I677" s="61"/>
      <c r="J677" s="61"/>
      <c r="K677" s="61"/>
    </row>
    <row r="678">
      <c r="C678" s="61"/>
      <c r="H678" s="61"/>
      <c r="I678" s="61"/>
      <c r="J678" s="61"/>
      <c r="K678" s="61"/>
    </row>
    <row r="679">
      <c r="C679" s="61"/>
      <c r="H679" s="61"/>
      <c r="I679" s="61"/>
      <c r="J679" s="61"/>
      <c r="K679" s="61"/>
    </row>
    <row r="680">
      <c r="C680" s="61"/>
      <c r="H680" s="61"/>
      <c r="I680" s="61"/>
      <c r="J680" s="61"/>
      <c r="K680" s="61"/>
    </row>
    <row r="681">
      <c r="C681" s="61"/>
      <c r="H681" s="61"/>
      <c r="I681" s="61"/>
      <c r="J681" s="61"/>
      <c r="K681" s="61"/>
    </row>
    <row r="682">
      <c r="C682" s="61"/>
      <c r="H682" s="61"/>
      <c r="I682" s="61"/>
      <c r="J682" s="61"/>
      <c r="K682" s="61"/>
    </row>
    <row r="683">
      <c r="C683" s="61"/>
      <c r="H683" s="61"/>
      <c r="I683" s="61"/>
      <c r="J683" s="61"/>
      <c r="K683" s="61"/>
    </row>
    <row r="684">
      <c r="C684" s="61"/>
      <c r="H684" s="61"/>
      <c r="I684" s="61"/>
      <c r="J684" s="61"/>
      <c r="K684" s="61"/>
    </row>
    <row r="685">
      <c r="C685" s="61"/>
      <c r="H685" s="61"/>
      <c r="I685" s="61"/>
      <c r="J685" s="61"/>
      <c r="K685" s="61"/>
    </row>
    <row r="686">
      <c r="C686" s="61"/>
      <c r="H686" s="61"/>
      <c r="I686" s="61"/>
      <c r="J686" s="61"/>
      <c r="K686" s="61"/>
    </row>
    <row r="687">
      <c r="C687" s="61"/>
      <c r="H687" s="61"/>
      <c r="I687" s="61"/>
      <c r="J687" s="61"/>
      <c r="K687" s="61"/>
    </row>
    <row r="688">
      <c r="C688" s="61"/>
      <c r="H688" s="61"/>
      <c r="I688" s="61"/>
      <c r="J688" s="61"/>
      <c r="K688" s="61"/>
    </row>
    <row r="689">
      <c r="C689" s="61"/>
      <c r="H689" s="61"/>
      <c r="I689" s="61"/>
      <c r="J689" s="61"/>
      <c r="K689" s="61"/>
    </row>
    <row r="690">
      <c r="C690" s="61"/>
      <c r="H690" s="61"/>
      <c r="I690" s="61"/>
      <c r="J690" s="61"/>
      <c r="K690" s="61"/>
    </row>
    <row r="691">
      <c r="C691" s="61"/>
      <c r="H691" s="61"/>
      <c r="I691" s="61"/>
      <c r="J691" s="61"/>
      <c r="K691" s="61"/>
    </row>
    <row r="692">
      <c r="C692" s="61"/>
      <c r="H692" s="61"/>
      <c r="I692" s="61"/>
      <c r="J692" s="61"/>
      <c r="K692" s="61"/>
    </row>
    <row r="693">
      <c r="C693" s="61"/>
      <c r="H693" s="61"/>
      <c r="I693" s="61"/>
      <c r="J693" s="61"/>
      <c r="K693" s="61"/>
    </row>
    <row r="694">
      <c r="C694" s="61"/>
      <c r="H694" s="61"/>
      <c r="I694" s="61"/>
      <c r="J694" s="61"/>
      <c r="K694" s="61"/>
    </row>
    <row r="695">
      <c r="C695" s="61"/>
      <c r="H695" s="61"/>
      <c r="I695" s="61"/>
      <c r="J695" s="61"/>
      <c r="K695" s="61"/>
    </row>
    <row r="696">
      <c r="C696" s="61"/>
      <c r="H696" s="61"/>
      <c r="I696" s="61"/>
      <c r="J696" s="61"/>
      <c r="K696" s="61"/>
    </row>
    <row r="697">
      <c r="C697" s="61"/>
      <c r="H697" s="61"/>
      <c r="I697" s="61"/>
      <c r="J697" s="61"/>
      <c r="K697" s="61"/>
    </row>
    <row r="698">
      <c r="C698" s="61"/>
      <c r="H698" s="61"/>
      <c r="I698" s="61"/>
      <c r="J698" s="61"/>
      <c r="K698" s="61"/>
    </row>
    <row r="699">
      <c r="C699" s="61"/>
      <c r="H699" s="61"/>
      <c r="I699" s="61"/>
      <c r="J699" s="61"/>
      <c r="K699" s="61"/>
    </row>
    <row r="700">
      <c r="C700" s="61"/>
      <c r="H700" s="61"/>
      <c r="I700" s="61"/>
      <c r="J700" s="61"/>
      <c r="K700" s="61"/>
    </row>
    <row r="701">
      <c r="C701" s="61"/>
      <c r="H701" s="61"/>
      <c r="I701" s="61"/>
      <c r="J701" s="61"/>
      <c r="K701" s="61"/>
    </row>
    <row r="702">
      <c r="C702" s="61"/>
      <c r="H702" s="61"/>
      <c r="I702" s="61"/>
      <c r="J702" s="61"/>
      <c r="K702" s="61"/>
    </row>
    <row r="703">
      <c r="C703" s="61"/>
      <c r="H703" s="61"/>
      <c r="I703" s="61"/>
      <c r="J703" s="61"/>
      <c r="K703" s="61"/>
    </row>
    <row r="704">
      <c r="C704" s="61"/>
      <c r="H704" s="61"/>
      <c r="I704" s="61"/>
      <c r="J704" s="61"/>
      <c r="K704" s="61"/>
    </row>
    <row r="705">
      <c r="C705" s="61"/>
      <c r="H705" s="61"/>
      <c r="I705" s="61"/>
      <c r="J705" s="61"/>
      <c r="K705" s="61"/>
    </row>
    <row r="706">
      <c r="C706" s="61"/>
      <c r="H706" s="61"/>
      <c r="I706" s="61"/>
      <c r="J706" s="61"/>
      <c r="K706" s="61"/>
    </row>
    <row r="707">
      <c r="C707" s="61"/>
      <c r="H707" s="61"/>
      <c r="I707" s="61"/>
      <c r="J707" s="61"/>
      <c r="K707" s="61"/>
    </row>
    <row r="708">
      <c r="C708" s="61"/>
      <c r="H708" s="61"/>
      <c r="I708" s="61"/>
      <c r="J708" s="61"/>
      <c r="K708" s="61"/>
    </row>
    <row r="709">
      <c r="C709" s="61"/>
      <c r="H709" s="61"/>
      <c r="I709" s="61"/>
      <c r="J709" s="61"/>
      <c r="K709" s="61"/>
    </row>
    <row r="710">
      <c r="C710" s="61"/>
      <c r="H710" s="61"/>
      <c r="I710" s="61"/>
      <c r="J710" s="61"/>
      <c r="K710" s="61"/>
    </row>
    <row r="711">
      <c r="C711" s="61"/>
      <c r="H711" s="61"/>
      <c r="I711" s="61"/>
      <c r="J711" s="61"/>
      <c r="K711" s="61"/>
    </row>
    <row r="712">
      <c r="C712" s="61"/>
      <c r="H712" s="61"/>
      <c r="I712" s="61"/>
      <c r="J712" s="61"/>
      <c r="K712" s="61"/>
    </row>
    <row r="713">
      <c r="C713" s="61"/>
      <c r="H713" s="61"/>
      <c r="I713" s="61"/>
      <c r="J713" s="61"/>
      <c r="K713" s="61"/>
    </row>
    <row r="714">
      <c r="C714" s="61"/>
      <c r="H714" s="61"/>
      <c r="I714" s="61"/>
      <c r="J714" s="61"/>
      <c r="K714" s="61"/>
    </row>
    <row r="715">
      <c r="C715" s="61"/>
      <c r="H715" s="61"/>
      <c r="I715" s="61"/>
      <c r="J715" s="61"/>
      <c r="K715" s="61"/>
    </row>
    <row r="716">
      <c r="C716" s="61"/>
      <c r="H716" s="61"/>
      <c r="I716" s="61"/>
      <c r="J716" s="61"/>
      <c r="K716" s="61"/>
    </row>
    <row r="717">
      <c r="C717" s="61"/>
      <c r="H717" s="61"/>
      <c r="I717" s="61"/>
      <c r="J717" s="61"/>
      <c r="K717" s="61"/>
    </row>
    <row r="718">
      <c r="C718" s="61"/>
      <c r="H718" s="61"/>
      <c r="I718" s="61"/>
      <c r="J718" s="61"/>
      <c r="K718" s="61"/>
    </row>
    <row r="719">
      <c r="C719" s="61"/>
      <c r="H719" s="61"/>
      <c r="I719" s="61"/>
      <c r="J719" s="61"/>
      <c r="K719" s="61"/>
    </row>
    <row r="720">
      <c r="C720" s="61"/>
      <c r="H720" s="61"/>
      <c r="I720" s="61"/>
      <c r="J720" s="61"/>
      <c r="K720" s="61"/>
    </row>
    <row r="721">
      <c r="C721" s="61"/>
      <c r="H721" s="61"/>
      <c r="I721" s="61"/>
      <c r="J721" s="61"/>
      <c r="K721" s="61"/>
    </row>
    <row r="722">
      <c r="C722" s="61"/>
      <c r="H722" s="61"/>
      <c r="I722" s="61"/>
      <c r="J722" s="61"/>
      <c r="K722" s="61"/>
    </row>
    <row r="723">
      <c r="C723" s="61"/>
      <c r="H723" s="61"/>
      <c r="I723" s="61"/>
      <c r="J723" s="61"/>
      <c r="K723" s="61"/>
    </row>
    <row r="724">
      <c r="C724" s="61"/>
      <c r="H724" s="61"/>
      <c r="I724" s="61"/>
      <c r="J724" s="61"/>
      <c r="K724" s="61"/>
    </row>
    <row r="725">
      <c r="C725" s="61"/>
      <c r="H725" s="61"/>
      <c r="I725" s="61"/>
      <c r="J725" s="61"/>
      <c r="K725" s="61"/>
    </row>
    <row r="726">
      <c r="C726" s="61"/>
      <c r="H726" s="61"/>
      <c r="I726" s="61"/>
      <c r="J726" s="61"/>
      <c r="K726" s="61"/>
    </row>
    <row r="727">
      <c r="C727" s="61"/>
      <c r="H727" s="61"/>
      <c r="I727" s="61"/>
      <c r="J727" s="61"/>
      <c r="K727" s="61"/>
    </row>
    <row r="728">
      <c r="C728" s="61"/>
      <c r="H728" s="61"/>
      <c r="I728" s="61"/>
      <c r="J728" s="61"/>
      <c r="K728" s="61"/>
    </row>
    <row r="729">
      <c r="C729" s="61"/>
      <c r="H729" s="61"/>
      <c r="I729" s="61"/>
      <c r="J729" s="61"/>
      <c r="K729" s="61"/>
    </row>
    <row r="730">
      <c r="C730" s="61"/>
      <c r="H730" s="61"/>
      <c r="I730" s="61"/>
      <c r="J730" s="61"/>
      <c r="K730" s="61"/>
    </row>
    <row r="731">
      <c r="C731" s="61"/>
      <c r="H731" s="61"/>
      <c r="I731" s="61"/>
      <c r="J731" s="61"/>
      <c r="K731" s="61"/>
    </row>
    <row r="732">
      <c r="C732" s="61"/>
      <c r="H732" s="61"/>
      <c r="I732" s="61"/>
      <c r="J732" s="61"/>
      <c r="K732" s="61"/>
    </row>
    <row r="733">
      <c r="C733" s="61"/>
      <c r="H733" s="61"/>
      <c r="I733" s="61"/>
      <c r="J733" s="61"/>
      <c r="K733" s="61"/>
    </row>
    <row r="734">
      <c r="C734" s="61"/>
      <c r="H734" s="61"/>
      <c r="I734" s="61"/>
      <c r="J734" s="61"/>
      <c r="K734" s="61"/>
    </row>
    <row r="735">
      <c r="C735" s="61"/>
      <c r="H735" s="61"/>
      <c r="I735" s="61"/>
      <c r="J735" s="61"/>
      <c r="K735" s="61"/>
    </row>
    <row r="736">
      <c r="C736" s="61"/>
      <c r="H736" s="61"/>
      <c r="I736" s="61"/>
      <c r="J736" s="61"/>
      <c r="K736" s="61"/>
    </row>
    <row r="737">
      <c r="C737" s="61"/>
      <c r="H737" s="61"/>
      <c r="I737" s="61"/>
      <c r="J737" s="61"/>
      <c r="K737" s="61"/>
    </row>
    <row r="738">
      <c r="C738" s="61"/>
      <c r="H738" s="61"/>
      <c r="I738" s="61"/>
      <c r="J738" s="61"/>
      <c r="K738" s="61"/>
    </row>
    <row r="739">
      <c r="C739" s="61"/>
      <c r="H739" s="61"/>
      <c r="I739" s="61"/>
      <c r="J739" s="61"/>
      <c r="K739" s="61"/>
    </row>
    <row r="740">
      <c r="C740" s="61"/>
      <c r="H740" s="61"/>
      <c r="I740" s="61"/>
      <c r="J740" s="61"/>
      <c r="K740" s="61"/>
    </row>
    <row r="741">
      <c r="C741" s="61"/>
      <c r="H741" s="61"/>
      <c r="I741" s="61"/>
      <c r="J741" s="61"/>
      <c r="K741" s="61"/>
    </row>
    <row r="742">
      <c r="C742" s="61"/>
      <c r="H742" s="61"/>
      <c r="I742" s="61"/>
      <c r="J742" s="61"/>
      <c r="K742" s="61"/>
    </row>
    <row r="743">
      <c r="C743" s="61"/>
      <c r="H743" s="61"/>
      <c r="I743" s="61"/>
      <c r="J743" s="61"/>
      <c r="K743" s="61"/>
    </row>
    <row r="744">
      <c r="C744" s="61"/>
      <c r="H744" s="61"/>
      <c r="I744" s="61"/>
      <c r="J744" s="61"/>
      <c r="K744" s="61"/>
    </row>
    <row r="745">
      <c r="C745" s="61"/>
      <c r="H745" s="61"/>
      <c r="I745" s="61"/>
      <c r="J745" s="61"/>
      <c r="K745" s="61"/>
    </row>
    <row r="746">
      <c r="C746" s="61"/>
      <c r="H746" s="61"/>
      <c r="I746" s="61"/>
      <c r="J746" s="61"/>
      <c r="K746" s="61"/>
    </row>
    <row r="747">
      <c r="C747" s="61"/>
      <c r="H747" s="61"/>
      <c r="I747" s="61"/>
      <c r="J747" s="61"/>
      <c r="K747" s="61"/>
    </row>
    <row r="748">
      <c r="C748" s="61"/>
      <c r="H748" s="61"/>
      <c r="I748" s="61"/>
      <c r="J748" s="61"/>
      <c r="K748" s="61"/>
    </row>
    <row r="749">
      <c r="C749" s="61"/>
      <c r="H749" s="61"/>
      <c r="I749" s="61"/>
      <c r="J749" s="61"/>
      <c r="K749" s="61"/>
    </row>
    <row r="750">
      <c r="C750" s="61"/>
      <c r="H750" s="61"/>
      <c r="I750" s="61"/>
      <c r="J750" s="61"/>
      <c r="K750" s="61"/>
    </row>
    <row r="751">
      <c r="C751" s="61"/>
      <c r="H751" s="61"/>
      <c r="I751" s="61"/>
      <c r="J751" s="61"/>
      <c r="K751" s="61"/>
    </row>
    <row r="752">
      <c r="C752" s="61"/>
      <c r="H752" s="61"/>
      <c r="I752" s="61"/>
      <c r="J752" s="61"/>
      <c r="K752" s="61"/>
    </row>
    <row r="753">
      <c r="C753" s="61"/>
      <c r="H753" s="61"/>
      <c r="I753" s="61"/>
      <c r="J753" s="61"/>
      <c r="K753" s="61"/>
    </row>
    <row r="754">
      <c r="C754" s="61"/>
      <c r="H754" s="61"/>
      <c r="I754" s="61"/>
      <c r="J754" s="61"/>
      <c r="K754" s="61"/>
    </row>
    <row r="755">
      <c r="C755" s="61"/>
      <c r="H755" s="61"/>
      <c r="I755" s="61"/>
      <c r="J755" s="61"/>
      <c r="K755" s="61"/>
    </row>
    <row r="756">
      <c r="C756" s="61"/>
      <c r="H756" s="61"/>
      <c r="I756" s="61"/>
      <c r="J756" s="61"/>
      <c r="K756" s="61"/>
    </row>
    <row r="757">
      <c r="C757" s="61"/>
      <c r="H757" s="61"/>
      <c r="I757" s="61"/>
      <c r="J757" s="61"/>
      <c r="K757" s="61"/>
    </row>
    <row r="758">
      <c r="C758" s="61"/>
      <c r="H758" s="61"/>
      <c r="I758" s="61"/>
      <c r="J758" s="61"/>
      <c r="K758" s="61"/>
    </row>
    <row r="759">
      <c r="C759" s="61"/>
      <c r="H759" s="61"/>
      <c r="I759" s="61"/>
      <c r="J759" s="61"/>
      <c r="K759" s="61"/>
    </row>
    <row r="760">
      <c r="C760" s="61"/>
      <c r="H760" s="61"/>
      <c r="I760" s="61"/>
      <c r="J760" s="61"/>
      <c r="K760" s="61"/>
    </row>
    <row r="761">
      <c r="C761" s="61"/>
      <c r="H761" s="61"/>
      <c r="I761" s="61"/>
      <c r="J761" s="61"/>
      <c r="K761" s="61"/>
    </row>
    <row r="762">
      <c r="C762" s="61"/>
      <c r="H762" s="61"/>
      <c r="I762" s="61"/>
      <c r="J762" s="61"/>
      <c r="K762" s="61"/>
    </row>
    <row r="763">
      <c r="C763" s="61"/>
      <c r="H763" s="61"/>
      <c r="I763" s="61"/>
      <c r="J763" s="61"/>
      <c r="K763" s="61"/>
    </row>
    <row r="764">
      <c r="C764" s="61"/>
      <c r="H764" s="61"/>
      <c r="I764" s="61"/>
      <c r="J764" s="61"/>
      <c r="K764" s="61"/>
    </row>
    <row r="765">
      <c r="C765" s="61"/>
      <c r="H765" s="61"/>
      <c r="I765" s="61"/>
      <c r="J765" s="61"/>
      <c r="K765" s="61"/>
    </row>
    <row r="766">
      <c r="C766" s="61"/>
      <c r="H766" s="61"/>
      <c r="I766" s="61"/>
      <c r="J766" s="61"/>
      <c r="K766" s="61"/>
    </row>
    <row r="767">
      <c r="C767" s="61"/>
      <c r="H767" s="61"/>
      <c r="I767" s="61"/>
      <c r="J767" s="61"/>
      <c r="K767" s="61"/>
    </row>
    <row r="768">
      <c r="C768" s="61"/>
      <c r="H768" s="61"/>
      <c r="I768" s="61"/>
      <c r="J768" s="61"/>
      <c r="K768" s="61"/>
    </row>
    <row r="769">
      <c r="C769" s="61"/>
      <c r="H769" s="61"/>
      <c r="I769" s="61"/>
      <c r="J769" s="61"/>
      <c r="K769" s="61"/>
    </row>
    <row r="770">
      <c r="C770" s="61"/>
      <c r="H770" s="61"/>
      <c r="I770" s="61"/>
      <c r="J770" s="61"/>
      <c r="K770" s="61"/>
    </row>
    <row r="771">
      <c r="C771" s="61"/>
      <c r="H771" s="61"/>
      <c r="I771" s="61"/>
      <c r="J771" s="61"/>
      <c r="K771" s="61"/>
    </row>
    <row r="772">
      <c r="C772" s="61"/>
      <c r="H772" s="61"/>
      <c r="I772" s="61"/>
      <c r="J772" s="61"/>
      <c r="K772" s="61"/>
    </row>
    <row r="773">
      <c r="C773" s="61"/>
      <c r="H773" s="61"/>
      <c r="I773" s="61"/>
      <c r="J773" s="61"/>
      <c r="K773" s="61"/>
    </row>
    <row r="774">
      <c r="C774" s="61"/>
      <c r="H774" s="61"/>
      <c r="I774" s="61"/>
      <c r="J774" s="61"/>
      <c r="K774" s="61"/>
    </row>
    <row r="775">
      <c r="C775" s="61"/>
      <c r="H775" s="61"/>
      <c r="I775" s="61"/>
      <c r="J775" s="61"/>
      <c r="K775" s="61"/>
    </row>
    <row r="776">
      <c r="C776" s="61"/>
      <c r="H776" s="61"/>
      <c r="I776" s="61"/>
      <c r="J776" s="61"/>
      <c r="K776" s="61"/>
    </row>
    <row r="777">
      <c r="C777" s="61"/>
      <c r="H777" s="61"/>
      <c r="I777" s="61"/>
      <c r="J777" s="61"/>
      <c r="K777" s="61"/>
    </row>
    <row r="778">
      <c r="C778" s="61"/>
      <c r="H778" s="61"/>
      <c r="I778" s="61"/>
      <c r="J778" s="61"/>
      <c r="K778" s="61"/>
    </row>
    <row r="779">
      <c r="C779" s="61"/>
      <c r="H779" s="61"/>
      <c r="I779" s="61"/>
      <c r="J779" s="61"/>
      <c r="K779" s="61"/>
    </row>
    <row r="780">
      <c r="C780" s="61"/>
      <c r="H780" s="61"/>
      <c r="I780" s="61"/>
      <c r="J780" s="61"/>
      <c r="K780" s="61"/>
    </row>
    <row r="781">
      <c r="C781" s="61"/>
      <c r="H781" s="61"/>
      <c r="I781" s="61"/>
      <c r="J781" s="61"/>
      <c r="K781" s="61"/>
    </row>
    <row r="782">
      <c r="C782" s="61"/>
      <c r="H782" s="61"/>
      <c r="I782" s="61"/>
      <c r="J782" s="61"/>
      <c r="K782" s="61"/>
    </row>
    <row r="783">
      <c r="C783" s="61"/>
      <c r="H783" s="61"/>
      <c r="I783" s="61"/>
      <c r="J783" s="61"/>
      <c r="K783" s="61"/>
    </row>
    <row r="784">
      <c r="C784" s="61"/>
      <c r="H784" s="61"/>
      <c r="I784" s="61"/>
      <c r="J784" s="61"/>
      <c r="K784" s="61"/>
    </row>
    <row r="785">
      <c r="C785" s="61"/>
      <c r="H785" s="61"/>
      <c r="I785" s="61"/>
      <c r="J785" s="61"/>
      <c r="K785" s="61"/>
    </row>
    <row r="786">
      <c r="C786" s="61"/>
      <c r="H786" s="61"/>
      <c r="I786" s="61"/>
      <c r="J786" s="61"/>
      <c r="K786" s="61"/>
    </row>
    <row r="787">
      <c r="C787" s="61"/>
      <c r="H787" s="61"/>
      <c r="I787" s="61"/>
      <c r="J787" s="61"/>
      <c r="K787" s="61"/>
    </row>
    <row r="788">
      <c r="C788" s="61"/>
      <c r="H788" s="61"/>
      <c r="I788" s="61"/>
      <c r="J788" s="61"/>
      <c r="K788" s="61"/>
    </row>
    <row r="789">
      <c r="C789" s="61"/>
      <c r="H789" s="61"/>
      <c r="I789" s="61"/>
      <c r="J789" s="61"/>
      <c r="K789" s="61"/>
    </row>
    <row r="790">
      <c r="C790" s="61"/>
      <c r="H790" s="61"/>
      <c r="I790" s="61"/>
      <c r="J790" s="61"/>
      <c r="K790" s="61"/>
    </row>
    <row r="791">
      <c r="C791" s="61"/>
      <c r="H791" s="61"/>
      <c r="I791" s="61"/>
      <c r="J791" s="61"/>
      <c r="K791" s="61"/>
    </row>
    <row r="792">
      <c r="C792" s="61"/>
      <c r="H792" s="61"/>
      <c r="I792" s="61"/>
      <c r="J792" s="61"/>
      <c r="K792" s="61"/>
    </row>
    <row r="793">
      <c r="C793" s="61"/>
      <c r="H793" s="61"/>
      <c r="I793" s="61"/>
      <c r="J793" s="61"/>
      <c r="K793" s="61"/>
    </row>
    <row r="794">
      <c r="C794" s="61"/>
      <c r="H794" s="61"/>
      <c r="I794" s="61"/>
      <c r="J794" s="61"/>
      <c r="K794" s="61"/>
    </row>
    <row r="795">
      <c r="C795" s="61"/>
      <c r="H795" s="61"/>
      <c r="I795" s="61"/>
      <c r="J795" s="61"/>
      <c r="K795" s="61"/>
    </row>
    <row r="796">
      <c r="C796" s="61"/>
      <c r="H796" s="61"/>
      <c r="I796" s="61"/>
      <c r="J796" s="61"/>
      <c r="K796" s="61"/>
    </row>
    <row r="797">
      <c r="C797" s="61"/>
      <c r="H797" s="61"/>
      <c r="I797" s="61"/>
      <c r="J797" s="61"/>
      <c r="K797" s="61"/>
    </row>
    <row r="798">
      <c r="C798" s="61"/>
      <c r="H798" s="61"/>
      <c r="I798" s="61"/>
      <c r="J798" s="61"/>
      <c r="K798" s="61"/>
    </row>
    <row r="799">
      <c r="C799" s="61"/>
      <c r="H799" s="61"/>
      <c r="I799" s="61"/>
      <c r="J799" s="61"/>
      <c r="K799" s="61"/>
    </row>
    <row r="800">
      <c r="C800" s="61"/>
      <c r="H800" s="61"/>
      <c r="I800" s="61"/>
      <c r="J800" s="61"/>
      <c r="K800" s="61"/>
    </row>
    <row r="801">
      <c r="C801" s="61"/>
      <c r="H801" s="61"/>
      <c r="I801" s="61"/>
      <c r="J801" s="61"/>
      <c r="K801" s="61"/>
    </row>
    <row r="802">
      <c r="C802" s="61"/>
      <c r="H802" s="61"/>
      <c r="I802" s="61"/>
      <c r="J802" s="61"/>
      <c r="K802" s="61"/>
    </row>
    <row r="803">
      <c r="C803" s="61"/>
      <c r="H803" s="61"/>
      <c r="I803" s="61"/>
      <c r="J803" s="61"/>
      <c r="K803" s="61"/>
    </row>
    <row r="804">
      <c r="C804" s="61"/>
      <c r="H804" s="61"/>
      <c r="I804" s="61"/>
      <c r="J804" s="61"/>
      <c r="K804" s="61"/>
    </row>
    <row r="805">
      <c r="C805" s="61"/>
      <c r="H805" s="61"/>
      <c r="I805" s="61"/>
      <c r="J805" s="61"/>
      <c r="K805" s="61"/>
    </row>
    <row r="806">
      <c r="C806" s="61"/>
      <c r="H806" s="61"/>
      <c r="I806" s="61"/>
      <c r="J806" s="61"/>
      <c r="K806" s="61"/>
    </row>
    <row r="807">
      <c r="C807" s="61"/>
      <c r="H807" s="61"/>
      <c r="I807" s="61"/>
      <c r="J807" s="61"/>
      <c r="K807" s="61"/>
    </row>
    <row r="808">
      <c r="C808" s="61"/>
      <c r="H808" s="61"/>
      <c r="I808" s="61"/>
      <c r="J808" s="61"/>
      <c r="K808" s="61"/>
    </row>
    <row r="809">
      <c r="C809" s="61"/>
      <c r="H809" s="61"/>
      <c r="I809" s="61"/>
      <c r="J809" s="61"/>
      <c r="K809" s="61"/>
    </row>
    <row r="810">
      <c r="C810" s="61"/>
      <c r="H810" s="61"/>
      <c r="I810" s="61"/>
      <c r="J810" s="61"/>
      <c r="K810" s="61"/>
    </row>
    <row r="811">
      <c r="C811" s="61"/>
      <c r="H811" s="61"/>
      <c r="I811" s="61"/>
      <c r="J811" s="61"/>
      <c r="K811" s="61"/>
    </row>
    <row r="812">
      <c r="C812" s="61"/>
      <c r="H812" s="61"/>
      <c r="I812" s="61"/>
      <c r="J812" s="61"/>
      <c r="K812" s="61"/>
    </row>
    <row r="813">
      <c r="C813" s="61"/>
      <c r="H813" s="61"/>
      <c r="I813" s="61"/>
      <c r="J813" s="61"/>
      <c r="K813" s="61"/>
    </row>
    <row r="814">
      <c r="C814" s="61"/>
      <c r="H814" s="61"/>
      <c r="I814" s="61"/>
      <c r="J814" s="61"/>
      <c r="K814" s="61"/>
    </row>
    <row r="815">
      <c r="C815" s="61"/>
      <c r="H815" s="61"/>
      <c r="I815" s="61"/>
      <c r="J815" s="61"/>
      <c r="K815" s="61"/>
    </row>
    <row r="816">
      <c r="C816" s="61"/>
      <c r="H816" s="61"/>
      <c r="I816" s="61"/>
      <c r="J816" s="61"/>
      <c r="K816" s="61"/>
    </row>
    <row r="817">
      <c r="C817" s="61"/>
      <c r="H817" s="61"/>
      <c r="I817" s="61"/>
      <c r="J817" s="61"/>
      <c r="K817" s="61"/>
    </row>
    <row r="818">
      <c r="C818" s="61"/>
      <c r="H818" s="61"/>
      <c r="I818" s="61"/>
      <c r="J818" s="61"/>
      <c r="K818" s="61"/>
    </row>
    <row r="819">
      <c r="C819" s="61"/>
      <c r="H819" s="61"/>
      <c r="I819" s="61"/>
      <c r="J819" s="61"/>
      <c r="K819" s="61"/>
    </row>
    <row r="820">
      <c r="C820" s="61"/>
      <c r="H820" s="61"/>
      <c r="I820" s="61"/>
      <c r="J820" s="61"/>
      <c r="K820" s="61"/>
    </row>
    <row r="821">
      <c r="C821" s="61"/>
      <c r="H821" s="61"/>
      <c r="I821" s="61"/>
      <c r="J821" s="61"/>
      <c r="K821" s="61"/>
    </row>
    <row r="822">
      <c r="C822" s="61"/>
      <c r="H822" s="61"/>
      <c r="I822" s="61"/>
      <c r="J822" s="61"/>
      <c r="K822" s="61"/>
    </row>
    <row r="823">
      <c r="C823" s="61"/>
      <c r="H823" s="61"/>
      <c r="I823" s="61"/>
      <c r="J823" s="61"/>
      <c r="K823" s="61"/>
    </row>
    <row r="824">
      <c r="C824" s="61"/>
      <c r="H824" s="61"/>
      <c r="I824" s="61"/>
      <c r="J824" s="61"/>
      <c r="K824" s="61"/>
    </row>
    <row r="825">
      <c r="C825" s="61"/>
      <c r="H825" s="61"/>
      <c r="I825" s="61"/>
      <c r="J825" s="61"/>
      <c r="K825" s="61"/>
    </row>
    <row r="826">
      <c r="C826" s="61"/>
      <c r="H826" s="61"/>
      <c r="I826" s="61"/>
      <c r="J826" s="61"/>
      <c r="K826" s="61"/>
    </row>
    <row r="827">
      <c r="C827" s="61"/>
      <c r="H827" s="61"/>
      <c r="I827" s="61"/>
      <c r="J827" s="61"/>
      <c r="K827" s="61"/>
    </row>
    <row r="828">
      <c r="C828" s="61"/>
      <c r="H828" s="61"/>
      <c r="I828" s="61"/>
      <c r="J828" s="61"/>
      <c r="K828" s="61"/>
    </row>
    <row r="829">
      <c r="C829" s="61"/>
      <c r="H829" s="61"/>
      <c r="I829" s="61"/>
      <c r="J829" s="61"/>
      <c r="K829" s="61"/>
    </row>
    <row r="830">
      <c r="C830" s="61"/>
      <c r="H830" s="61"/>
      <c r="I830" s="61"/>
      <c r="J830" s="61"/>
      <c r="K830" s="61"/>
    </row>
    <row r="831">
      <c r="C831" s="61"/>
      <c r="H831" s="61"/>
      <c r="I831" s="61"/>
      <c r="J831" s="61"/>
      <c r="K831" s="61"/>
    </row>
    <row r="832">
      <c r="C832" s="61"/>
      <c r="H832" s="61"/>
      <c r="I832" s="61"/>
      <c r="J832" s="61"/>
      <c r="K832" s="61"/>
    </row>
    <row r="833">
      <c r="C833" s="61"/>
      <c r="H833" s="61"/>
      <c r="I833" s="61"/>
      <c r="J833" s="61"/>
      <c r="K833" s="61"/>
    </row>
    <row r="834">
      <c r="C834" s="61"/>
      <c r="H834" s="61"/>
      <c r="I834" s="61"/>
      <c r="J834" s="61"/>
      <c r="K834" s="61"/>
    </row>
    <row r="835">
      <c r="C835" s="61"/>
      <c r="H835" s="61"/>
      <c r="I835" s="61"/>
      <c r="J835" s="61"/>
      <c r="K835" s="61"/>
    </row>
    <row r="836">
      <c r="C836" s="61"/>
      <c r="H836" s="61"/>
      <c r="I836" s="61"/>
      <c r="J836" s="61"/>
      <c r="K836" s="61"/>
    </row>
    <row r="837">
      <c r="C837" s="61"/>
      <c r="H837" s="61"/>
      <c r="I837" s="61"/>
      <c r="J837" s="61"/>
      <c r="K837" s="61"/>
    </row>
    <row r="838">
      <c r="C838" s="61"/>
      <c r="H838" s="61"/>
      <c r="I838" s="61"/>
      <c r="J838" s="61"/>
      <c r="K838" s="61"/>
    </row>
    <row r="839">
      <c r="C839" s="61"/>
      <c r="H839" s="61"/>
      <c r="I839" s="61"/>
      <c r="J839" s="61"/>
      <c r="K839" s="61"/>
    </row>
    <row r="840">
      <c r="C840" s="61"/>
      <c r="H840" s="61"/>
      <c r="I840" s="61"/>
      <c r="J840" s="61"/>
      <c r="K840" s="61"/>
    </row>
    <row r="841">
      <c r="C841" s="61"/>
      <c r="H841" s="61"/>
      <c r="I841" s="61"/>
      <c r="J841" s="61"/>
      <c r="K841" s="61"/>
    </row>
    <row r="842">
      <c r="C842" s="61"/>
      <c r="H842" s="61"/>
      <c r="I842" s="61"/>
      <c r="J842" s="61"/>
      <c r="K842" s="61"/>
    </row>
    <row r="843">
      <c r="C843" s="61"/>
      <c r="H843" s="61"/>
      <c r="I843" s="61"/>
      <c r="J843" s="61"/>
      <c r="K843" s="61"/>
    </row>
    <row r="844">
      <c r="C844" s="61"/>
      <c r="H844" s="61"/>
      <c r="I844" s="61"/>
      <c r="J844" s="61"/>
      <c r="K844" s="61"/>
    </row>
    <row r="845">
      <c r="C845" s="61"/>
      <c r="H845" s="61"/>
      <c r="I845" s="61"/>
      <c r="J845" s="61"/>
      <c r="K845" s="61"/>
    </row>
    <row r="846">
      <c r="C846" s="61"/>
      <c r="H846" s="61"/>
      <c r="I846" s="61"/>
      <c r="J846" s="61"/>
      <c r="K846" s="61"/>
    </row>
    <row r="847">
      <c r="C847" s="61"/>
      <c r="H847" s="61"/>
      <c r="I847" s="61"/>
      <c r="J847" s="61"/>
      <c r="K847" s="61"/>
    </row>
    <row r="848">
      <c r="C848" s="61"/>
      <c r="H848" s="61"/>
      <c r="I848" s="61"/>
      <c r="J848" s="61"/>
      <c r="K848" s="61"/>
    </row>
    <row r="849">
      <c r="C849" s="61"/>
      <c r="H849" s="61"/>
      <c r="I849" s="61"/>
      <c r="J849" s="61"/>
      <c r="K849" s="61"/>
    </row>
    <row r="850">
      <c r="C850" s="61"/>
      <c r="H850" s="61"/>
      <c r="I850" s="61"/>
      <c r="J850" s="61"/>
      <c r="K850" s="61"/>
    </row>
    <row r="851">
      <c r="C851" s="61"/>
      <c r="H851" s="61"/>
      <c r="I851" s="61"/>
      <c r="J851" s="61"/>
      <c r="K851" s="61"/>
    </row>
    <row r="852">
      <c r="C852" s="61"/>
      <c r="H852" s="61"/>
      <c r="I852" s="61"/>
      <c r="J852" s="61"/>
      <c r="K852" s="61"/>
    </row>
    <row r="853">
      <c r="C853" s="61"/>
      <c r="H853" s="61"/>
      <c r="I853" s="61"/>
      <c r="J853" s="61"/>
      <c r="K853" s="61"/>
    </row>
    <row r="854">
      <c r="C854" s="61"/>
      <c r="H854" s="61"/>
      <c r="I854" s="61"/>
      <c r="J854" s="61"/>
      <c r="K854" s="61"/>
    </row>
    <row r="855">
      <c r="C855" s="61"/>
      <c r="H855" s="61"/>
      <c r="I855" s="61"/>
      <c r="J855" s="61"/>
      <c r="K855" s="61"/>
    </row>
    <row r="856">
      <c r="C856" s="61"/>
      <c r="H856" s="61"/>
      <c r="I856" s="61"/>
      <c r="J856" s="61"/>
      <c r="K856" s="61"/>
    </row>
    <row r="857">
      <c r="C857" s="61"/>
      <c r="H857" s="61"/>
      <c r="I857" s="61"/>
      <c r="J857" s="61"/>
      <c r="K857" s="61"/>
    </row>
    <row r="858">
      <c r="C858" s="61"/>
      <c r="H858" s="61"/>
      <c r="I858" s="61"/>
      <c r="J858" s="61"/>
      <c r="K858" s="61"/>
    </row>
    <row r="859">
      <c r="C859" s="61"/>
      <c r="H859" s="61"/>
      <c r="I859" s="61"/>
      <c r="J859" s="61"/>
      <c r="K859" s="61"/>
    </row>
    <row r="860">
      <c r="C860" s="61"/>
      <c r="H860" s="61"/>
      <c r="I860" s="61"/>
      <c r="J860" s="61"/>
      <c r="K860" s="61"/>
    </row>
    <row r="861">
      <c r="C861" s="61"/>
      <c r="H861" s="61"/>
      <c r="I861" s="61"/>
      <c r="J861" s="61"/>
      <c r="K861" s="61"/>
    </row>
    <row r="862">
      <c r="C862" s="61"/>
      <c r="H862" s="61"/>
      <c r="I862" s="61"/>
      <c r="J862" s="61"/>
      <c r="K862" s="61"/>
    </row>
    <row r="863">
      <c r="C863" s="61"/>
      <c r="H863" s="61"/>
      <c r="I863" s="61"/>
      <c r="J863" s="61"/>
      <c r="K863" s="61"/>
    </row>
    <row r="864">
      <c r="C864" s="61"/>
      <c r="H864" s="61"/>
      <c r="I864" s="61"/>
      <c r="J864" s="61"/>
      <c r="K864" s="61"/>
    </row>
    <row r="865">
      <c r="C865" s="61"/>
      <c r="H865" s="61"/>
      <c r="I865" s="61"/>
      <c r="J865" s="61"/>
      <c r="K865" s="61"/>
    </row>
    <row r="866">
      <c r="C866" s="61"/>
      <c r="H866" s="61"/>
      <c r="I866" s="61"/>
      <c r="J866" s="61"/>
      <c r="K866" s="61"/>
    </row>
    <row r="867">
      <c r="C867" s="61"/>
      <c r="H867" s="61"/>
      <c r="I867" s="61"/>
      <c r="J867" s="61"/>
      <c r="K867" s="61"/>
    </row>
    <row r="868">
      <c r="C868" s="61"/>
      <c r="H868" s="61"/>
      <c r="I868" s="61"/>
      <c r="J868" s="61"/>
      <c r="K868" s="61"/>
    </row>
    <row r="869">
      <c r="C869" s="61"/>
      <c r="H869" s="61"/>
      <c r="I869" s="61"/>
      <c r="J869" s="61"/>
      <c r="K869" s="61"/>
    </row>
    <row r="870">
      <c r="C870" s="61"/>
      <c r="H870" s="61"/>
      <c r="I870" s="61"/>
      <c r="J870" s="61"/>
      <c r="K870" s="61"/>
    </row>
    <row r="871">
      <c r="C871" s="61"/>
      <c r="H871" s="61"/>
      <c r="I871" s="61"/>
      <c r="J871" s="61"/>
      <c r="K871" s="61"/>
    </row>
    <row r="872">
      <c r="C872" s="61"/>
      <c r="H872" s="61"/>
      <c r="I872" s="61"/>
      <c r="J872" s="61"/>
      <c r="K872" s="61"/>
    </row>
    <row r="873">
      <c r="C873" s="61"/>
      <c r="H873" s="61"/>
      <c r="I873" s="61"/>
      <c r="J873" s="61"/>
      <c r="K873" s="61"/>
    </row>
    <row r="874">
      <c r="C874" s="61"/>
      <c r="H874" s="61"/>
      <c r="I874" s="61"/>
      <c r="J874" s="61"/>
      <c r="K874" s="61"/>
    </row>
    <row r="875">
      <c r="C875" s="61"/>
      <c r="H875" s="61"/>
      <c r="I875" s="61"/>
      <c r="J875" s="61"/>
      <c r="K875" s="61"/>
    </row>
    <row r="876">
      <c r="C876" s="61"/>
      <c r="H876" s="61"/>
      <c r="I876" s="61"/>
      <c r="J876" s="61"/>
      <c r="K876" s="61"/>
    </row>
    <row r="877">
      <c r="C877" s="61"/>
      <c r="H877" s="61"/>
      <c r="I877" s="61"/>
      <c r="J877" s="61"/>
      <c r="K877" s="61"/>
    </row>
    <row r="878">
      <c r="C878" s="61"/>
      <c r="H878" s="61"/>
      <c r="I878" s="61"/>
      <c r="J878" s="61"/>
      <c r="K878" s="61"/>
    </row>
    <row r="879">
      <c r="C879" s="61"/>
      <c r="H879" s="61"/>
      <c r="I879" s="61"/>
      <c r="J879" s="61"/>
      <c r="K879" s="61"/>
    </row>
    <row r="880">
      <c r="C880" s="61"/>
      <c r="H880" s="61"/>
      <c r="I880" s="61"/>
      <c r="J880" s="61"/>
      <c r="K880" s="61"/>
    </row>
    <row r="881">
      <c r="C881" s="61"/>
      <c r="H881" s="61"/>
      <c r="I881" s="61"/>
      <c r="J881" s="61"/>
      <c r="K881" s="61"/>
    </row>
    <row r="882">
      <c r="C882" s="61"/>
      <c r="H882" s="61"/>
      <c r="I882" s="61"/>
      <c r="J882" s="61"/>
      <c r="K882" s="61"/>
    </row>
    <row r="883">
      <c r="C883" s="61"/>
      <c r="H883" s="61"/>
      <c r="I883" s="61"/>
      <c r="J883" s="61"/>
      <c r="K883" s="61"/>
    </row>
    <row r="884">
      <c r="C884" s="61"/>
      <c r="H884" s="61"/>
      <c r="I884" s="61"/>
      <c r="J884" s="61"/>
      <c r="K884" s="61"/>
    </row>
    <row r="885">
      <c r="C885" s="61"/>
      <c r="H885" s="61"/>
      <c r="I885" s="61"/>
      <c r="J885" s="61"/>
      <c r="K885" s="61"/>
    </row>
    <row r="886">
      <c r="C886" s="61"/>
      <c r="H886" s="61"/>
      <c r="I886" s="61"/>
      <c r="J886" s="61"/>
      <c r="K886" s="61"/>
    </row>
    <row r="887">
      <c r="C887" s="61"/>
      <c r="H887" s="61"/>
      <c r="I887" s="61"/>
      <c r="J887" s="61"/>
      <c r="K887" s="61"/>
    </row>
    <row r="888">
      <c r="C888" s="61"/>
      <c r="H888" s="61"/>
      <c r="I888" s="61"/>
      <c r="J888" s="61"/>
      <c r="K888" s="61"/>
    </row>
    <row r="889">
      <c r="C889" s="61"/>
      <c r="H889" s="61"/>
      <c r="I889" s="61"/>
      <c r="J889" s="61"/>
      <c r="K889" s="61"/>
    </row>
    <row r="890">
      <c r="C890" s="61"/>
      <c r="H890" s="61"/>
      <c r="I890" s="61"/>
      <c r="J890" s="61"/>
      <c r="K890" s="61"/>
    </row>
    <row r="891">
      <c r="C891" s="61"/>
      <c r="H891" s="61"/>
      <c r="I891" s="61"/>
      <c r="J891" s="61"/>
      <c r="K891" s="61"/>
    </row>
    <row r="892">
      <c r="C892" s="61"/>
      <c r="H892" s="61"/>
      <c r="I892" s="61"/>
      <c r="J892" s="61"/>
      <c r="K892" s="61"/>
    </row>
    <row r="893">
      <c r="C893" s="61"/>
      <c r="H893" s="61"/>
      <c r="I893" s="61"/>
      <c r="J893" s="61"/>
      <c r="K893" s="61"/>
    </row>
    <row r="894">
      <c r="C894" s="61"/>
      <c r="H894" s="61"/>
      <c r="I894" s="61"/>
      <c r="J894" s="61"/>
      <c r="K894" s="61"/>
    </row>
    <row r="895">
      <c r="C895" s="61"/>
      <c r="H895" s="61"/>
      <c r="I895" s="61"/>
      <c r="J895" s="61"/>
      <c r="K895" s="61"/>
    </row>
    <row r="896">
      <c r="C896" s="61"/>
      <c r="H896" s="61"/>
      <c r="I896" s="61"/>
      <c r="J896" s="61"/>
      <c r="K896" s="61"/>
    </row>
    <row r="897">
      <c r="C897" s="61"/>
      <c r="H897" s="61"/>
      <c r="I897" s="61"/>
      <c r="J897" s="61"/>
      <c r="K897" s="61"/>
    </row>
    <row r="898">
      <c r="C898" s="61"/>
      <c r="H898" s="61"/>
      <c r="I898" s="61"/>
      <c r="J898" s="61"/>
      <c r="K898" s="61"/>
    </row>
    <row r="899">
      <c r="C899" s="61"/>
      <c r="H899" s="61"/>
      <c r="I899" s="61"/>
      <c r="J899" s="61"/>
      <c r="K899" s="61"/>
    </row>
    <row r="900">
      <c r="C900" s="61"/>
      <c r="H900" s="61"/>
      <c r="I900" s="61"/>
      <c r="J900" s="61"/>
      <c r="K900" s="61"/>
    </row>
    <row r="901">
      <c r="C901" s="61"/>
      <c r="H901" s="61"/>
      <c r="I901" s="61"/>
      <c r="J901" s="61"/>
      <c r="K901" s="61"/>
    </row>
    <row r="902">
      <c r="C902" s="61"/>
      <c r="H902" s="61"/>
      <c r="I902" s="61"/>
      <c r="J902" s="61"/>
      <c r="K902" s="61"/>
    </row>
    <row r="903">
      <c r="C903" s="61"/>
      <c r="H903" s="61"/>
      <c r="I903" s="61"/>
      <c r="J903" s="61"/>
      <c r="K903" s="61"/>
    </row>
    <row r="904">
      <c r="C904" s="61"/>
      <c r="H904" s="61"/>
      <c r="I904" s="61"/>
      <c r="J904" s="61"/>
      <c r="K904" s="61"/>
    </row>
    <row r="905">
      <c r="C905" s="61"/>
      <c r="H905" s="61"/>
      <c r="I905" s="61"/>
      <c r="J905" s="61"/>
      <c r="K905" s="61"/>
    </row>
    <row r="906">
      <c r="C906" s="61"/>
      <c r="H906" s="61"/>
      <c r="I906" s="61"/>
      <c r="J906" s="61"/>
      <c r="K906" s="61"/>
    </row>
    <row r="907">
      <c r="C907" s="61"/>
      <c r="H907" s="61"/>
      <c r="I907" s="61"/>
      <c r="J907" s="61"/>
      <c r="K907" s="61"/>
    </row>
    <row r="908">
      <c r="C908" s="61"/>
      <c r="H908" s="61"/>
      <c r="I908" s="61"/>
      <c r="J908" s="61"/>
      <c r="K908" s="61"/>
    </row>
    <row r="909">
      <c r="C909" s="61"/>
      <c r="H909" s="61"/>
      <c r="I909" s="61"/>
      <c r="J909" s="61"/>
      <c r="K909" s="61"/>
    </row>
    <row r="910">
      <c r="C910" s="61"/>
      <c r="H910" s="61"/>
      <c r="I910" s="61"/>
      <c r="J910" s="61"/>
      <c r="K910" s="61"/>
    </row>
    <row r="911">
      <c r="C911" s="61"/>
      <c r="H911" s="61"/>
      <c r="I911" s="61"/>
      <c r="J911" s="61"/>
      <c r="K911" s="61"/>
    </row>
    <row r="912">
      <c r="C912" s="61"/>
      <c r="H912" s="61"/>
      <c r="I912" s="61"/>
      <c r="J912" s="61"/>
      <c r="K912" s="61"/>
    </row>
    <row r="913">
      <c r="C913" s="61"/>
      <c r="H913" s="61"/>
      <c r="I913" s="61"/>
      <c r="J913" s="61"/>
      <c r="K913" s="61"/>
    </row>
    <row r="914">
      <c r="C914" s="61"/>
      <c r="H914" s="61"/>
      <c r="I914" s="61"/>
      <c r="J914" s="61"/>
      <c r="K914" s="61"/>
    </row>
    <row r="915">
      <c r="C915" s="61"/>
      <c r="H915" s="61"/>
      <c r="I915" s="61"/>
      <c r="J915" s="61"/>
      <c r="K915" s="61"/>
    </row>
    <row r="916">
      <c r="C916" s="61"/>
      <c r="H916" s="61"/>
      <c r="I916" s="61"/>
      <c r="J916" s="61"/>
      <c r="K916" s="61"/>
    </row>
    <row r="917">
      <c r="C917" s="61"/>
      <c r="H917" s="61"/>
      <c r="I917" s="61"/>
      <c r="J917" s="61"/>
      <c r="K917" s="61"/>
    </row>
    <row r="918">
      <c r="C918" s="61"/>
      <c r="H918" s="61"/>
      <c r="I918" s="61"/>
      <c r="J918" s="61"/>
      <c r="K918" s="61"/>
    </row>
    <row r="919">
      <c r="C919" s="61"/>
      <c r="H919" s="61"/>
      <c r="I919" s="61"/>
      <c r="J919" s="61"/>
      <c r="K919" s="61"/>
    </row>
    <row r="920">
      <c r="C920" s="61"/>
      <c r="H920" s="61"/>
      <c r="I920" s="61"/>
      <c r="J920" s="61"/>
      <c r="K920" s="61"/>
    </row>
    <row r="921">
      <c r="C921" s="61"/>
      <c r="H921" s="61"/>
      <c r="I921" s="61"/>
      <c r="J921" s="61"/>
      <c r="K921" s="61"/>
    </row>
    <row r="922">
      <c r="C922" s="61"/>
      <c r="H922" s="61"/>
      <c r="I922" s="61"/>
      <c r="J922" s="61"/>
      <c r="K922" s="61"/>
    </row>
    <row r="923">
      <c r="C923" s="61"/>
      <c r="H923" s="61"/>
      <c r="I923" s="61"/>
      <c r="J923" s="61"/>
      <c r="K923" s="61"/>
    </row>
    <row r="924">
      <c r="C924" s="61"/>
      <c r="H924" s="61"/>
      <c r="I924" s="61"/>
      <c r="J924" s="61"/>
      <c r="K924" s="61"/>
    </row>
    <row r="925">
      <c r="C925" s="61"/>
      <c r="H925" s="61"/>
      <c r="I925" s="61"/>
      <c r="J925" s="61"/>
      <c r="K925" s="61"/>
    </row>
    <row r="926">
      <c r="C926" s="61"/>
      <c r="H926" s="61"/>
      <c r="I926" s="61"/>
      <c r="J926" s="61"/>
      <c r="K926" s="61"/>
    </row>
    <row r="927">
      <c r="C927" s="61"/>
      <c r="H927" s="61"/>
      <c r="I927" s="61"/>
      <c r="J927" s="61"/>
      <c r="K927" s="61"/>
    </row>
    <row r="928">
      <c r="C928" s="61"/>
      <c r="H928" s="61"/>
      <c r="I928" s="61"/>
      <c r="J928" s="61"/>
      <c r="K928" s="61"/>
    </row>
    <row r="929">
      <c r="C929" s="61"/>
      <c r="H929" s="61"/>
      <c r="I929" s="61"/>
      <c r="J929" s="61"/>
      <c r="K929" s="61"/>
    </row>
    <row r="930">
      <c r="C930" s="61"/>
      <c r="H930" s="61"/>
      <c r="I930" s="61"/>
      <c r="J930" s="61"/>
      <c r="K930" s="61"/>
    </row>
    <row r="931">
      <c r="C931" s="61"/>
      <c r="H931" s="61"/>
      <c r="I931" s="61"/>
      <c r="J931" s="61"/>
      <c r="K931" s="61"/>
    </row>
    <row r="932">
      <c r="C932" s="61"/>
      <c r="H932" s="61"/>
      <c r="I932" s="61"/>
      <c r="J932" s="61"/>
      <c r="K932" s="61"/>
    </row>
    <row r="933">
      <c r="C933" s="61"/>
      <c r="H933" s="61"/>
      <c r="I933" s="61"/>
      <c r="J933" s="61"/>
      <c r="K933" s="61"/>
    </row>
    <row r="934">
      <c r="C934" s="61"/>
      <c r="H934" s="61"/>
      <c r="I934" s="61"/>
      <c r="J934" s="61"/>
      <c r="K934" s="61"/>
    </row>
    <row r="935">
      <c r="C935" s="61"/>
      <c r="H935" s="61"/>
      <c r="I935" s="61"/>
      <c r="J935" s="61"/>
      <c r="K935" s="61"/>
    </row>
    <row r="936">
      <c r="C936" s="61"/>
      <c r="H936" s="61"/>
      <c r="I936" s="61"/>
      <c r="J936" s="61"/>
      <c r="K936" s="61"/>
    </row>
    <row r="937">
      <c r="C937" s="61"/>
      <c r="H937" s="61"/>
      <c r="I937" s="61"/>
      <c r="J937" s="61"/>
      <c r="K937" s="61"/>
    </row>
    <row r="938">
      <c r="C938" s="61"/>
      <c r="H938" s="61"/>
      <c r="I938" s="61"/>
      <c r="J938" s="61"/>
      <c r="K938" s="61"/>
    </row>
    <row r="939">
      <c r="C939" s="61"/>
      <c r="H939" s="61"/>
      <c r="I939" s="61"/>
      <c r="J939" s="61"/>
      <c r="K939" s="61"/>
    </row>
    <row r="940">
      <c r="C940" s="61"/>
      <c r="H940" s="61"/>
      <c r="I940" s="61"/>
      <c r="J940" s="61"/>
      <c r="K940" s="61"/>
    </row>
    <row r="941">
      <c r="C941" s="61"/>
      <c r="H941" s="61"/>
      <c r="I941" s="61"/>
      <c r="J941" s="61"/>
      <c r="K941" s="61"/>
    </row>
    <row r="942">
      <c r="C942" s="61"/>
      <c r="H942" s="61"/>
      <c r="I942" s="61"/>
      <c r="J942" s="61"/>
      <c r="K942" s="61"/>
    </row>
    <row r="943">
      <c r="C943" s="61"/>
      <c r="H943" s="61"/>
      <c r="I943" s="61"/>
      <c r="J943" s="61"/>
      <c r="K943" s="61"/>
    </row>
    <row r="944">
      <c r="C944" s="61"/>
      <c r="H944" s="61"/>
      <c r="I944" s="61"/>
      <c r="J944" s="61"/>
      <c r="K944" s="61"/>
    </row>
    <row r="945">
      <c r="C945" s="61"/>
      <c r="H945" s="61"/>
      <c r="I945" s="61"/>
      <c r="J945" s="61"/>
      <c r="K945" s="61"/>
    </row>
    <row r="946">
      <c r="C946" s="61"/>
      <c r="H946" s="61"/>
      <c r="I946" s="61"/>
      <c r="J946" s="61"/>
      <c r="K946" s="61"/>
    </row>
    <row r="947">
      <c r="C947" s="61"/>
      <c r="H947" s="61"/>
      <c r="I947" s="61"/>
      <c r="J947" s="61"/>
      <c r="K947" s="61"/>
    </row>
    <row r="948">
      <c r="C948" s="61"/>
      <c r="H948" s="61"/>
      <c r="I948" s="61"/>
      <c r="J948" s="61"/>
      <c r="K948" s="61"/>
    </row>
    <row r="949">
      <c r="C949" s="61"/>
      <c r="H949" s="61"/>
      <c r="I949" s="61"/>
      <c r="J949" s="61"/>
      <c r="K949" s="61"/>
    </row>
    <row r="950">
      <c r="C950" s="61"/>
      <c r="H950" s="61"/>
      <c r="I950" s="61"/>
      <c r="J950" s="61"/>
      <c r="K950" s="61"/>
    </row>
    <row r="951">
      <c r="C951" s="61"/>
      <c r="H951" s="61"/>
      <c r="I951" s="61"/>
      <c r="J951" s="61"/>
      <c r="K951" s="61"/>
    </row>
    <row r="952">
      <c r="C952" s="61"/>
      <c r="H952" s="61"/>
      <c r="I952" s="61"/>
      <c r="J952" s="61"/>
      <c r="K952" s="61"/>
    </row>
    <row r="953">
      <c r="C953" s="61"/>
      <c r="H953" s="61"/>
      <c r="I953" s="61"/>
      <c r="J953" s="61"/>
      <c r="K953" s="61"/>
    </row>
    <row r="954">
      <c r="C954" s="61"/>
      <c r="H954" s="61"/>
      <c r="I954" s="61"/>
      <c r="J954" s="61"/>
      <c r="K954" s="61"/>
    </row>
    <row r="955">
      <c r="C955" s="61"/>
      <c r="H955" s="61"/>
      <c r="I955" s="61"/>
      <c r="J955" s="61"/>
      <c r="K955" s="61"/>
    </row>
    <row r="956">
      <c r="C956" s="61"/>
      <c r="H956" s="61"/>
      <c r="I956" s="61"/>
      <c r="J956" s="61"/>
      <c r="K956" s="61"/>
    </row>
    <row r="957">
      <c r="C957" s="61"/>
      <c r="H957" s="61"/>
      <c r="I957" s="61"/>
      <c r="J957" s="61"/>
      <c r="K957" s="61"/>
    </row>
    <row r="958">
      <c r="C958" s="61"/>
      <c r="H958" s="61"/>
      <c r="I958" s="61"/>
      <c r="J958" s="61"/>
      <c r="K958" s="61"/>
    </row>
    <row r="959">
      <c r="C959" s="61"/>
      <c r="H959" s="61"/>
      <c r="I959" s="61"/>
      <c r="J959" s="61"/>
      <c r="K959" s="61"/>
    </row>
    <row r="960">
      <c r="C960" s="61"/>
      <c r="H960" s="61"/>
      <c r="I960" s="61"/>
      <c r="J960" s="61"/>
      <c r="K960" s="61"/>
    </row>
    <row r="961">
      <c r="C961" s="61"/>
      <c r="H961" s="61"/>
      <c r="I961" s="61"/>
      <c r="J961" s="61"/>
      <c r="K961" s="61"/>
    </row>
    <row r="962">
      <c r="C962" s="61"/>
      <c r="H962" s="61"/>
      <c r="I962" s="61"/>
      <c r="J962" s="61"/>
      <c r="K962" s="61"/>
    </row>
    <row r="963">
      <c r="C963" s="61"/>
      <c r="H963" s="61"/>
      <c r="I963" s="61"/>
      <c r="J963" s="61"/>
      <c r="K963" s="61"/>
    </row>
    <row r="964">
      <c r="C964" s="61"/>
      <c r="H964" s="61"/>
      <c r="I964" s="61"/>
      <c r="J964" s="61"/>
      <c r="K964" s="61"/>
    </row>
    <row r="965">
      <c r="C965" s="61"/>
      <c r="H965" s="61"/>
      <c r="I965" s="61"/>
      <c r="J965" s="61"/>
      <c r="K965" s="61"/>
    </row>
    <row r="966">
      <c r="C966" s="61"/>
      <c r="H966" s="61"/>
      <c r="I966" s="61"/>
      <c r="J966" s="61"/>
      <c r="K966" s="61"/>
    </row>
    <row r="967">
      <c r="C967" s="61"/>
      <c r="H967" s="61"/>
      <c r="I967" s="61"/>
      <c r="J967" s="61"/>
      <c r="K967" s="61"/>
    </row>
    <row r="968">
      <c r="C968" s="61"/>
      <c r="H968" s="61"/>
      <c r="I968" s="61"/>
      <c r="J968" s="61"/>
      <c r="K968" s="61"/>
    </row>
    <row r="969">
      <c r="C969" s="61"/>
      <c r="H969" s="61"/>
      <c r="I969" s="61"/>
      <c r="J969" s="61"/>
      <c r="K969" s="61"/>
    </row>
    <row r="970">
      <c r="C970" s="61"/>
      <c r="H970" s="61"/>
      <c r="I970" s="61"/>
      <c r="J970" s="61"/>
      <c r="K970" s="61"/>
    </row>
    <row r="971">
      <c r="C971" s="61"/>
      <c r="H971" s="61"/>
      <c r="I971" s="61"/>
      <c r="J971" s="61"/>
      <c r="K971" s="61"/>
    </row>
    <row r="972">
      <c r="C972" s="61"/>
      <c r="H972" s="61"/>
      <c r="I972" s="61"/>
      <c r="J972" s="61"/>
      <c r="K972" s="61"/>
    </row>
    <row r="973">
      <c r="C973" s="61"/>
      <c r="H973" s="61"/>
      <c r="I973" s="61"/>
      <c r="J973" s="61"/>
      <c r="K973" s="61"/>
    </row>
    <row r="974">
      <c r="C974" s="61"/>
      <c r="H974" s="61"/>
      <c r="I974" s="61"/>
      <c r="J974" s="61"/>
      <c r="K974" s="61"/>
    </row>
    <row r="975">
      <c r="C975" s="61"/>
      <c r="H975" s="61"/>
      <c r="I975" s="61"/>
      <c r="J975" s="61"/>
      <c r="K975" s="61"/>
    </row>
    <row r="976">
      <c r="C976" s="61"/>
      <c r="H976" s="61"/>
      <c r="I976" s="61"/>
      <c r="J976" s="61"/>
      <c r="K976" s="61"/>
    </row>
    <row r="977">
      <c r="C977" s="61"/>
      <c r="H977" s="61"/>
      <c r="I977" s="61"/>
      <c r="J977" s="61"/>
      <c r="K977" s="61"/>
    </row>
    <row r="978">
      <c r="C978" s="61"/>
      <c r="H978" s="61"/>
      <c r="I978" s="61"/>
      <c r="J978" s="61"/>
      <c r="K978" s="61"/>
    </row>
    <row r="979">
      <c r="C979" s="61"/>
      <c r="H979" s="61"/>
      <c r="I979" s="61"/>
      <c r="J979" s="61"/>
      <c r="K979" s="61"/>
    </row>
    <row r="980">
      <c r="C980" s="61"/>
      <c r="H980" s="61"/>
      <c r="I980" s="61"/>
      <c r="J980" s="61"/>
      <c r="K980" s="61"/>
    </row>
    <row r="981">
      <c r="C981" s="61"/>
      <c r="H981" s="61"/>
      <c r="I981" s="61"/>
      <c r="J981" s="61"/>
      <c r="K981" s="61"/>
    </row>
    <row r="982">
      <c r="C982" s="61"/>
      <c r="H982" s="61"/>
      <c r="I982" s="61"/>
      <c r="J982" s="61"/>
      <c r="K982" s="61"/>
    </row>
    <row r="983">
      <c r="C983" s="61"/>
      <c r="H983" s="61"/>
      <c r="I983" s="61"/>
      <c r="J983" s="61"/>
      <c r="K983" s="61"/>
    </row>
    <row r="984">
      <c r="C984" s="61"/>
      <c r="H984" s="61"/>
      <c r="I984" s="61"/>
      <c r="J984" s="61"/>
      <c r="K984" s="61"/>
    </row>
    <row r="985">
      <c r="C985" s="61"/>
      <c r="H985" s="61"/>
      <c r="I985" s="61"/>
      <c r="J985" s="61"/>
      <c r="K985" s="61"/>
    </row>
    <row r="986">
      <c r="C986" s="61"/>
      <c r="H986" s="61"/>
      <c r="I986" s="61"/>
      <c r="J986" s="61"/>
      <c r="K986" s="61"/>
    </row>
    <row r="987">
      <c r="C987" s="61"/>
      <c r="H987" s="61"/>
      <c r="I987" s="61"/>
      <c r="J987" s="61"/>
      <c r="K987" s="61"/>
    </row>
    <row r="988">
      <c r="C988" s="61"/>
      <c r="H988" s="61"/>
      <c r="I988" s="61"/>
      <c r="J988" s="61"/>
      <c r="K988" s="61"/>
    </row>
    <row r="989">
      <c r="C989" s="61"/>
      <c r="H989" s="61"/>
      <c r="I989" s="61"/>
      <c r="J989" s="61"/>
      <c r="K989" s="61"/>
    </row>
    <row r="990">
      <c r="C990" s="61"/>
      <c r="H990" s="61"/>
      <c r="I990" s="61"/>
      <c r="J990" s="61"/>
      <c r="K990" s="61"/>
    </row>
    <row r="991">
      <c r="C991" s="61"/>
      <c r="H991" s="61"/>
      <c r="I991" s="61"/>
      <c r="J991" s="61"/>
      <c r="K991" s="61"/>
    </row>
    <row r="992">
      <c r="C992" s="61"/>
      <c r="H992" s="61"/>
      <c r="I992" s="61"/>
      <c r="J992" s="61"/>
      <c r="K992" s="61"/>
    </row>
    <row r="993">
      <c r="C993" s="61"/>
      <c r="H993" s="61"/>
      <c r="I993" s="61"/>
      <c r="J993" s="61"/>
      <c r="K993" s="61"/>
    </row>
    <row r="994">
      <c r="C994" s="61"/>
      <c r="H994" s="61"/>
      <c r="I994" s="61"/>
      <c r="J994" s="61"/>
      <c r="K994" s="61"/>
    </row>
    <row r="995">
      <c r="C995" s="61"/>
      <c r="H995" s="61"/>
      <c r="I995" s="61"/>
      <c r="J995" s="61"/>
      <c r="K995" s="61"/>
    </row>
    <row r="996">
      <c r="C996" s="61"/>
      <c r="H996" s="61"/>
      <c r="I996" s="61"/>
      <c r="J996" s="61"/>
      <c r="K996" s="61"/>
    </row>
    <row r="997">
      <c r="C997" s="61"/>
      <c r="H997" s="61"/>
      <c r="I997" s="61"/>
      <c r="J997" s="61"/>
      <c r="K997" s="61"/>
    </row>
    <row r="998">
      <c r="C998" s="61"/>
      <c r="H998" s="61"/>
      <c r="I998" s="61"/>
      <c r="J998" s="61"/>
      <c r="K998" s="61"/>
    </row>
    <row r="999">
      <c r="C999" s="61"/>
      <c r="H999" s="61"/>
      <c r="I999" s="61"/>
      <c r="J999" s="61"/>
      <c r="K999" s="61"/>
    </row>
    <row r="1000">
      <c r="C1000" s="61"/>
      <c r="H1000" s="61"/>
      <c r="I1000" s="61"/>
      <c r="J1000" s="61"/>
      <c r="K1000" s="61"/>
    </row>
    <row r="1001">
      <c r="C1001" s="61"/>
      <c r="H1001" s="61"/>
      <c r="I1001" s="61"/>
      <c r="J1001" s="61"/>
      <c r="K1001" s="61"/>
    </row>
    <row r="1002">
      <c r="C1002" s="61"/>
      <c r="H1002" s="61"/>
      <c r="I1002" s="61"/>
      <c r="J1002" s="61"/>
      <c r="K1002" s="61"/>
    </row>
    <row r="1003">
      <c r="C1003" s="61"/>
      <c r="H1003" s="61"/>
      <c r="I1003" s="61"/>
      <c r="J1003" s="61"/>
      <c r="K1003" s="61"/>
    </row>
    <row r="1004">
      <c r="C1004" s="61"/>
      <c r="H1004" s="61"/>
      <c r="I1004" s="61"/>
      <c r="J1004" s="61"/>
      <c r="K1004" s="61"/>
    </row>
    <row r="1005">
      <c r="C1005" s="61"/>
      <c r="H1005" s="61"/>
      <c r="I1005" s="61"/>
      <c r="J1005" s="61"/>
      <c r="K1005" s="61"/>
    </row>
    <row r="1006">
      <c r="C1006" s="61"/>
      <c r="H1006" s="61"/>
      <c r="I1006" s="61"/>
      <c r="J1006" s="61"/>
      <c r="K1006" s="61"/>
    </row>
    <row r="1007">
      <c r="C1007" s="61"/>
      <c r="H1007" s="61"/>
      <c r="I1007" s="61"/>
      <c r="J1007" s="61"/>
      <c r="K1007" s="61"/>
    </row>
    <row r="1008">
      <c r="C1008" s="61"/>
      <c r="H1008" s="61"/>
      <c r="I1008" s="61"/>
      <c r="J1008" s="61"/>
      <c r="K1008" s="61"/>
    </row>
    <row r="1009">
      <c r="C1009" s="61"/>
      <c r="H1009" s="61"/>
      <c r="I1009" s="61"/>
      <c r="J1009" s="61"/>
      <c r="K1009" s="61"/>
    </row>
    <row r="1010">
      <c r="C1010" s="61"/>
      <c r="H1010" s="61"/>
      <c r="I1010" s="61"/>
      <c r="J1010" s="61"/>
      <c r="K1010" s="61"/>
    </row>
    <row r="1011">
      <c r="C1011" s="61"/>
      <c r="H1011" s="61"/>
      <c r="I1011" s="61"/>
      <c r="J1011" s="61"/>
      <c r="K1011" s="61"/>
    </row>
    <row r="1012">
      <c r="C1012" s="61"/>
      <c r="H1012" s="61"/>
      <c r="I1012" s="61"/>
      <c r="J1012" s="61"/>
      <c r="K1012" s="61"/>
    </row>
    <row r="1013">
      <c r="C1013" s="61"/>
      <c r="H1013" s="61"/>
      <c r="I1013" s="61"/>
      <c r="J1013" s="61"/>
      <c r="K1013" s="61"/>
    </row>
    <row r="1014">
      <c r="C1014" s="61"/>
      <c r="H1014" s="61"/>
      <c r="I1014" s="61"/>
      <c r="J1014" s="61"/>
      <c r="K1014" s="61"/>
    </row>
    <row r="1015">
      <c r="C1015" s="61"/>
      <c r="H1015" s="61"/>
      <c r="I1015" s="61"/>
      <c r="J1015" s="61"/>
      <c r="K1015" s="61"/>
    </row>
    <row r="1016">
      <c r="C1016" s="61"/>
      <c r="H1016" s="61"/>
      <c r="I1016" s="61"/>
      <c r="J1016" s="61"/>
      <c r="K1016" s="61"/>
    </row>
    <row r="1017">
      <c r="C1017" s="61"/>
      <c r="H1017" s="61"/>
      <c r="I1017" s="61"/>
      <c r="J1017" s="61"/>
      <c r="K1017" s="61"/>
    </row>
    <row r="1018">
      <c r="C1018" s="61"/>
      <c r="H1018" s="61"/>
      <c r="I1018" s="61"/>
      <c r="J1018" s="61"/>
      <c r="K1018" s="61"/>
    </row>
    <row r="1019">
      <c r="C1019" s="61"/>
      <c r="H1019" s="61"/>
      <c r="I1019" s="61"/>
      <c r="J1019" s="61"/>
      <c r="K1019" s="61"/>
    </row>
    <row r="1020">
      <c r="C1020" s="61"/>
      <c r="H1020" s="61"/>
      <c r="I1020" s="61"/>
      <c r="J1020" s="61"/>
      <c r="K1020" s="61"/>
    </row>
    <row r="1021">
      <c r="C1021" s="61"/>
      <c r="H1021" s="61"/>
      <c r="I1021" s="61"/>
      <c r="J1021" s="61"/>
      <c r="K1021" s="61"/>
    </row>
    <row r="1022">
      <c r="C1022" s="61"/>
      <c r="H1022" s="61"/>
      <c r="I1022" s="61"/>
      <c r="J1022" s="61"/>
      <c r="K1022" s="61"/>
    </row>
    <row r="1023">
      <c r="C1023" s="61"/>
      <c r="H1023" s="61"/>
      <c r="I1023" s="61"/>
      <c r="J1023" s="61"/>
      <c r="K1023" s="61"/>
    </row>
    <row r="1024">
      <c r="C1024" s="61"/>
      <c r="H1024" s="61"/>
      <c r="I1024" s="61"/>
      <c r="J1024" s="61"/>
      <c r="K1024" s="61"/>
    </row>
    <row r="1025">
      <c r="C1025" s="61"/>
      <c r="H1025" s="61"/>
      <c r="I1025" s="61"/>
      <c r="J1025" s="61"/>
      <c r="K1025" s="61"/>
    </row>
    <row r="1026">
      <c r="C1026" s="61"/>
      <c r="H1026" s="61"/>
      <c r="I1026" s="61"/>
      <c r="J1026" s="61"/>
      <c r="K1026" s="61"/>
    </row>
    <row r="1027">
      <c r="C1027" s="61"/>
      <c r="H1027" s="61"/>
      <c r="I1027" s="61"/>
      <c r="J1027" s="61"/>
      <c r="K1027" s="61"/>
    </row>
    <row r="1028">
      <c r="C1028" s="61"/>
      <c r="H1028" s="61"/>
      <c r="I1028" s="61"/>
      <c r="J1028" s="61"/>
      <c r="K1028" s="61"/>
    </row>
  </sheetData>
  <mergeCells count="22">
    <mergeCell ref="B9:B11"/>
    <mergeCell ref="B12:B14"/>
    <mergeCell ref="B15:B17"/>
    <mergeCell ref="B18:B20"/>
    <mergeCell ref="B21:B23"/>
    <mergeCell ref="B24:B26"/>
    <mergeCell ref="A1:A5"/>
    <mergeCell ref="B1:O1"/>
    <mergeCell ref="D2:F2"/>
    <mergeCell ref="D3:F3"/>
    <mergeCell ref="B4:O4"/>
    <mergeCell ref="A6:A32"/>
    <mergeCell ref="B6:B8"/>
    <mergeCell ref="C48:S48"/>
    <mergeCell ref="C49:S49"/>
    <mergeCell ref="B27:B29"/>
    <mergeCell ref="B30:B32"/>
    <mergeCell ref="B33:B35"/>
    <mergeCell ref="B36:B38"/>
    <mergeCell ref="B39:B41"/>
    <mergeCell ref="B42:B44"/>
    <mergeCell ref="B45:B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13"/>
    <col customWidth="1" min="3" max="3" width="15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9" t="s">
        <v>23</v>
      </c>
      <c r="U5" s="9" t="s">
        <v>24</v>
      </c>
      <c r="V5" s="9" t="s">
        <v>25</v>
      </c>
      <c r="W5" s="10" t="s">
        <v>26</v>
      </c>
      <c r="X5" s="11" t="s">
        <v>27</v>
      </c>
    </row>
    <row r="6" ht="22.5" customHeight="1">
      <c r="A6" s="1"/>
      <c r="B6" s="12">
        <v>0.0</v>
      </c>
      <c r="C6" s="13" t="s">
        <v>28</v>
      </c>
      <c r="D6" s="14">
        <v>45628.0</v>
      </c>
      <c r="E6" s="14">
        <v>45631.0</v>
      </c>
      <c r="F6" s="15">
        <v>45634.0</v>
      </c>
      <c r="G6" s="14">
        <v>45641.0</v>
      </c>
      <c r="H6" s="14">
        <v>45644.0</v>
      </c>
      <c r="I6" s="14">
        <v>45646.0</v>
      </c>
      <c r="J6" s="14">
        <v>45647.0</v>
      </c>
      <c r="K6" s="15">
        <v>45649.0</v>
      </c>
      <c r="L6" s="16"/>
      <c r="M6" s="16"/>
      <c r="N6" s="17"/>
      <c r="O6" s="17"/>
      <c r="P6" s="18"/>
      <c r="Q6" s="19"/>
      <c r="R6" s="19"/>
      <c r="S6" s="19"/>
      <c r="T6" s="18">
        <v>46003.0</v>
      </c>
      <c r="U6" s="19"/>
      <c r="V6" s="19"/>
      <c r="W6" s="19"/>
      <c r="X6" s="20"/>
      <c r="Y6" s="21"/>
      <c r="Z6" s="21"/>
      <c r="AA6" s="21"/>
      <c r="AB6" s="21"/>
      <c r="AC6" s="21"/>
      <c r="AD6" s="21"/>
      <c r="AE6" s="21"/>
      <c r="AF6" s="21"/>
    </row>
    <row r="7" ht="33.75" customHeight="1">
      <c r="B7" s="22"/>
      <c r="C7" s="23" t="s">
        <v>29</v>
      </c>
      <c r="D7" s="24">
        <v>2.0</v>
      </c>
      <c r="E7" s="24">
        <v>1.5</v>
      </c>
      <c r="F7" s="23">
        <v>0.0</v>
      </c>
      <c r="G7" s="24">
        <v>1.5</v>
      </c>
      <c r="H7" s="23">
        <v>2.0</v>
      </c>
      <c r="I7" s="24">
        <v>1.0</v>
      </c>
      <c r="J7" s="24">
        <v>2.0</v>
      </c>
      <c r="K7" s="23">
        <v>0.0</v>
      </c>
      <c r="L7" s="25"/>
      <c r="M7" s="25"/>
      <c r="N7" s="26"/>
      <c r="O7" s="26"/>
      <c r="P7" s="24"/>
      <c r="Q7" s="19"/>
      <c r="R7" s="19"/>
      <c r="S7" s="24"/>
      <c r="T7" s="24">
        <v>2.0</v>
      </c>
      <c r="U7" s="19"/>
      <c r="V7" s="19"/>
      <c r="W7" s="24">
        <f>SUM(G7:V7)</f>
        <v>8.5</v>
      </c>
      <c r="X7" s="27">
        <v>0.0</v>
      </c>
    </row>
    <row r="8" ht="33.75" customHeight="1">
      <c r="B8" s="28"/>
      <c r="C8" s="29" t="s">
        <v>30</v>
      </c>
      <c r="D8" s="25"/>
      <c r="E8" s="25"/>
      <c r="F8" s="29" t="s">
        <v>31</v>
      </c>
      <c r="G8" s="25"/>
      <c r="H8" s="29" t="s">
        <v>32</v>
      </c>
      <c r="I8" s="25"/>
      <c r="J8" s="25"/>
      <c r="K8" s="29" t="s">
        <v>33</v>
      </c>
      <c r="L8" s="25"/>
      <c r="M8" s="25"/>
      <c r="N8" s="26"/>
      <c r="O8" s="26"/>
      <c r="P8" s="24"/>
      <c r="Q8" s="19"/>
      <c r="R8" s="19"/>
      <c r="S8" s="24"/>
      <c r="T8" s="24"/>
      <c r="U8" s="19"/>
      <c r="V8" s="19"/>
      <c r="W8" s="24"/>
      <c r="X8" s="20"/>
    </row>
    <row r="9" ht="22.5" customHeight="1">
      <c r="B9" s="12">
        <v>1.0</v>
      </c>
      <c r="C9" s="30" t="s">
        <v>34</v>
      </c>
      <c r="D9" s="62">
        <v>46086.0</v>
      </c>
      <c r="E9" s="62">
        <v>46090.0</v>
      </c>
      <c r="F9" s="62">
        <v>46093.0</v>
      </c>
      <c r="G9" s="62">
        <v>46097.0</v>
      </c>
      <c r="H9" s="62">
        <v>46100.0</v>
      </c>
      <c r="I9" s="62">
        <v>46104.0</v>
      </c>
      <c r="J9" s="62">
        <v>46107.0</v>
      </c>
      <c r="K9" s="62">
        <v>46111.0</v>
      </c>
      <c r="L9" s="33"/>
      <c r="M9" s="34"/>
      <c r="N9" s="34"/>
      <c r="O9" s="34"/>
      <c r="P9" s="35"/>
      <c r="Q9" s="36"/>
      <c r="R9" s="36"/>
      <c r="S9" s="36"/>
      <c r="T9" s="36"/>
      <c r="U9" s="36"/>
      <c r="V9" s="36"/>
      <c r="W9" s="36"/>
      <c r="X9" s="20"/>
      <c r="Y9" s="21"/>
      <c r="Z9" s="21"/>
      <c r="AA9" s="21"/>
      <c r="AB9" s="21"/>
      <c r="AC9" s="21"/>
      <c r="AD9" s="21"/>
      <c r="AE9" s="21"/>
      <c r="AF9" s="21"/>
    </row>
    <row r="10" ht="22.5" customHeight="1">
      <c r="B10" s="22"/>
      <c r="C10" s="37" t="s">
        <v>29</v>
      </c>
      <c r="D10" s="38">
        <v>1.5</v>
      </c>
      <c r="E10" s="38">
        <v>1.0</v>
      </c>
      <c r="F10" s="38">
        <v>1.5</v>
      </c>
      <c r="G10" s="38">
        <v>1.0</v>
      </c>
      <c r="H10" s="38">
        <v>1.5</v>
      </c>
      <c r="I10" s="38">
        <v>1.0</v>
      </c>
      <c r="J10" s="38">
        <v>1.5</v>
      </c>
      <c r="K10" s="38">
        <v>1.0</v>
      </c>
      <c r="L10" s="39"/>
      <c r="M10" s="40"/>
      <c r="N10" s="40"/>
      <c r="O10" s="40"/>
      <c r="P10" s="36"/>
      <c r="Q10" s="36"/>
      <c r="R10" s="36"/>
      <c r="S10" s="41"/>
      <c r="T10" s="41"/>
      <c r="U10" s="41"/>
      <c r="V10" s="41"/>
      <c r="W10" s="41">
        <v>10.0</v>
      </c>
      <c r="X10" s="42">
        <f>W10*30000</f>
        <v>300000</v>
      </c>
    </row>
    <row r="11" ht="30.75" customHeight="1">
      <c r="B11" s="28"/>
      <c r="C11" s="43" t="s">
        <v>30</v>
      </c>
      <c r="D11" s="44"/>
      <c r="E11" s="38"/>
      <c r="F11" s="45"/>
      <c r="G11" s="38"/>
      <c r="H11" s="45"/>
      <c r="I11" s="38"/>
      <c r="J11" s="38"/>
      <c r="K11" s="39"/>
      <c r="L11" s="39"/>
      <c r="M11" s="40"/>
      <c r="N11" s="40"/>
      <c r="O11" s="40"/>
      <c r="P11" s="36"/>
      <c r="Q11" s="36"/>
      <c r="R11" s="36"/>
      <c r="S11" s="36"/>
      <c r="T11" s="36"/>
      <c r="U11" s="36"/>
      <c r="V11" s="36"/>
      <c r="W11" s="36"/>
      <c r="X11" s="20"/>
    </row>
    <row r="12" ht="22.5" customHeight="1">
      <c r="B12" s="12">
        <v>2.0</v>
      </c>
      <c r="C12" s="30" t="s">
        <v>37</v>
      </c>
      <c r="D12" s="65">
        <v>46095.0</v>
      </c>
      <c r="E12" s="62">
        <v>46102.0</v>
      </c>
      <c r="F12" s="31">
        <v>46109.0</v>
      </c>
      <c r="G12" s="32"/>
      <c r="H12" s="32"/>
      <c r="I12" s="32"/>
      <c r="J12" s="32"/>
      <c r="K12" s="32"/>
      <c r="L12" s="15"/>
      <c r="M12" s="33"/>
      <c r="N12" s="45"/>
      <c r="O12" s="34"/>
      <c r="P12" s="36"/>
      <c r="Q12" s="36"/>
      <c r="R12" s="36"/>
      <c r="S12" s="36"/>
      <c r="T12" s="36"/>
      <c r="U12" s="36"/>
      <c r="V12" s="36"/>
      <c r="W12" s="36"/>
      <c r="X12" s="42"/>
      <c r="Y12" s="21"/>
      <c r="Z12" s="21"/>
      <c r="AA12" s="21"/>
      <c r="AB12" s="21"/>
      <c r="AC12" s="21"/>
      <c r="AD12" s="21"/>
      <c r="AE12" s="21"/>
      <c r="AF12" s="21"/>
    </row>
    <row r="13" ht="22.5" customHeight="1">
      <c r="B13" s="22"/>
      <c r="C13" s="37" t="s">
        <v>29</v>
      </c>
      <c r="D13" s="38">
        <v>1.0</v>
      </c>
      <c r="E13" s="38">
        <v>1.0</v>
      </c>
      <c r="F13" s="38">
        <v>0.0</v>
      </c>
      <c r="G13" s="38"/>
      <c r="H13" s="38"/>
      <c r="I13" s="45"/>
      <c r="J13" s="45"/>
      <c r="K13" s="45"/>
      <c r="L13" s="38"/>
      <c r="M13" s="38"/>
      <c r="N13" s="38"/>
      <c r="O13" s="40"/>
      <c r="P13" s="36"/>
      <c r="Q13" s="36"/>
      <c r="R13" s="36"/>
      <c r="S13" s="36"/>
      <c r="T13" s="36"/>
      <c r="U13" s="36"/>
      <c r="V13" s="36"/>
      <c r="W13" s="41">
        <v>2.0</v>
      </c>
      <c r="X13" s="42">
        <f>W13*30000</f>
        <v>60000</v>
      </c>
    </row>
    <row r="14" ht="37.5" customHeight="1">
      <c r="B14" s="28"/>
      <c r="C14" s="43" t="s">
        <v>30</v>
      </c>
      <c r="D14" s="45"/>
      <c r="E14" s="45"/>
      <c r="F14" s="38" t="s">
        <v>48</v>
      </c>
      <c r="G14" s="44"/>
      <c r="H14" s="45"/>
      <c r="I14" s="45"/>
      <c r="J14" s="45"/>
      <c r="K14" s="45"/>
      <c r="L14" s="38"/>
      <c r="M14" s="38"/>
      <c r="N14" s="40"/>
      <c r="O14" s="40"/>
      <c r="P14" s="36"/>
      <c r="Q14" s="36"/>
      <c r="R14" s="36"/>
      <c r="S14" s="36"/>
      <c r="T14" s="36"/>
      <c r="U14" s="36"/>
      <c r="V14" s="36"/>
      <c r="W14" s="36"/>
      <c r="X14" s="42"/>
    </row>
    <row r="15" ht="22.5" customHeight="1">
      <c r="B15" s="12">
        <v>3.0</v>
      </c>
      <c r="C15" s="30" t="s">
        <v>39</v>
      </c>
      <c r="D15" s="62">
        <v>46085.0</v>
      </c>
      <c r="E15" s="65">
        <v>46090.0</v>
      </c>
      <c r="F15" s="62">
        <v>46092.0</v>
      </c>
      <c r="G15" s="62">
        <v>46097.0</v>
      </c>
      <c r="H15" s="62">
        <v>46099.0</v>
      </c>
      <c r="I15" s="62">
        <v>46104.0</v>
      </c>
      <c r="J15" s="62">
        <v>46106.0</v>
      </c>
      <c r="K15" s="62"/>
      <c r="L15" s="46"/>
      <c r="M15" s="46"/>
      <c r="N15" s="47"/>
      <c r="O15" s="47"/>
      <c r="P15" s="36"/>
      <c r="Q15" s="36"/>
      <c r="R15" s="36"/>
      <c r="S15" s="36"/>
      <c r="T15" s="36"/>
      <c r="U15" s="36"/>
      <c r="V15" s="36"/>
      <c r="W15" s="36"/>
      <c r="X15" s="20"/>
      <c r="Y15" s="21"/>
      <c r="Z15" s="21"/>
      <c r="AA15" s="21"/>
      <c r="AB15" s="21"/>
      <c r="AC15" s="21"/>
      <c r="AD15" s="21"/>
      <c r="AE15" s="21"/>
      <c r="AF15" s="21"/>
    </row>
    <row r="16" ht="22.5" customHeight="1">
      <c r="B16" s="22"/>
      <c r="C16" s="43" t="s">
        <v>29</v>
      </c>
      <c r="D16" s="38">
        <v>1.0</v>
      </c>
      <c r="E16" s="38">
        <v>1.0</v>
      </c>
      <c r="F16" s="38">
        <v>1.0</v>
      </c>
      <c r="G16" s="38">
        <v>1.0</v>
      </c>
      <c r="H16" s="38">
        <v>1.0</v>
      </c>
      <c r="I16" s="38">
        <v>1.0</v>
      </c>
      <c r="J16" s="38">
        <v>1.0</v>
      </c>
      <c r="K16" s="38"/>
      <c r="L16" s="43"/>
      <c r="M16" s="39"/>
      <c r="N16" s="48"/>
      <c r="O16" s="48"/>
      <c r="P16" s="49"/>
      <c r="Q16" s="49"/>
      <c r="R16" s="49"/>
      <c r="S16" s="36"/>
      <c r="T16" s="36"/>
      <c r="U16" s="36"/>
      <c r="V16" s="36"/>
      <c r="W16" s="41">
        <v>7.0</v>
      </c>
      <c r="X16" s="42">
        <f>W16*30000</f>
        <v>210000</v>
      </c>
    </row>
    <row r="17" ht="36.0" customHeight="1">
      <c r="B17" s="28"/>
      <c r="C17" s="43" t="s">
        <v>30</v>
      </c>
      <c r="D17" s="38"/>
      <c r="E17" s="44"/>
      <c r="F17" s="45"/>
      <c r="G17" s="38"/>
      <c r="H17" s="45"/>
      <c r="I17" s="38"/>
      <c r="J17" s="38"/>
      <c r="K17" s="38"/>
      <c r="L17" s="39"/>
      <c r="M17" s="39"/>
      <c r="N17" s="48"/>
      <c r="O17" s="48"/>
      <c r="P17" s="49"/>
      <c r="Q17" s="49"/>
      <c r="R17" s="49"/>
      <c r="S17" s="36"/>
      <c r="T17" s="36"/>
      <c r="U17" s="36"/>
      <c r="V17" s="36"/>
      <c r="W17" s="36"/>
      <c r="X17" s="42"/>
    </row>
    <row r="18" ht="22.5" customHeight="1">
      <c r="B18" s="12">
        <v>4.0</v>
      </c>
      <c r="C18" s="30" t="s">
        <v>40</v>
      </c>
      <c r="D18" s="62">
        <v>46084.0</v>
      </c>
      <c r="E18" s="62">
        <v>46086.0</v>
      </c>
      <c r="F18" s="62">
        <v>46091.0</v>
      </c>
      <c r="G18" s="62">
        <v>46093.0</v>
      </c>
      <c r="H18" s="62">
        <v>46098.0</v>
      </c>
      <c r="I18" s="62">
        <v>46100.0</v>
      </c>
      <c r="J18" s="62">
        <v>46105.0</v>
      </c>
      <c r="K18" s="62">
        <v>46107.0</v>
      </c>
      <c r="L18" s="32"/>
      <c r="M18" s="50"/>
      <c r="N18" s="45"/>
      <c r="O18" s="47"/>
      <c r="P18" s="49"/>
      <c r="Q18" s="49"/>
      <c r="R18" s="49"/>
      <c r="S18" s="36"/>
      <c r="T18" s="36"/>
      <c r="U18" s="36"/>
      <c r="V18" s="36"/>
      <c r="W18" s="36"/>
      <c r="X18" s="20"/>
      <c r="Y18" s="21"/>
      <c r="Z18" s="21"/>
      <c r="AA18" s="21"/>
      <c r="AB18" s="21"/>
      <c r="AC18" s="21"/>
      <c r="AD18" s="21"/>
      <c r="AE18" s="21"/>
      <c r="AF18" s="21"/>
    </row>
    <row r="19" ht="22.5" customHeight="1">
      <c r="B19" s="22"/>
      <c r="C19" s="43" t="s">
        <v>29</v>
      </c>
      <c r="D19" s="38">
        <v>1.0</v>
      </c>
      <c r="E19" s="38">
        <v>1.0</v>
      </c>
      <c r="F19" s="38">
        <v>1.0</v>
      </c>
      <c r="G19" s="38">
        <v>1.0</v>
      </c>
      <c r="H19" s="38">
        <v>1.0</v>
      </c>
      <c r="I19" s="38">
        <v>1.0</v>
      </c>
      <c r="J19" s="51">
        <v>1.0</v>
      </c>
      <c r="K19" s="38">
        <v>1.0</v>
      </c>
      <c r="L19" s="43"/>
      <c r="M19" s="39"/>
      <c r="N19" s="48"/>
      <c r="O19" s="48"/>
      <c r="P19" s="49"/>
      <c r="Q19" s="49"/>
      <c r="R19" s="49"/>
      <c r="S19" s="36"/>
      <c r="T19" s="36"/>
      <c r="U19" s="36"/>
      <c r="V19" s="36"/>
      <c r="W19" s="41">
        <v>8.0</v>
      </c>
      <c r="X19" s="42">
        <f>W19*30000</f>
        <v>240000</v>
      </c>
    </row>
    <row r="20" ht="30.75" customHeight="1">
      <c r="B20" s="28"/>
      <c r="C20" s="43" t="s">
        <v>30</v>
      </c>
      <c r="D20" s="38"/>
      <c r="E20" s="38"/>
      <c r="F20" s="45"/>
      <c r="G20" s="45"/>
      <c r="H20" s="52"/>
      <c r="I20" s="38"/>
      <c r="J20" s="38"/>
      <c r="K20" s="53"/>
      <c r="L20" s="39"/>
      <c r="M20" s="39"/>
      <c r="N20" s="48"/>
      <c r="O20" s="48"/>
      <c r="P20" s="49"/>
      <c r="Q20" s="49"/>
      <c r="R20" s="49"/>
      <c r="S20" s="36"/>
      <c r="T20" s="36"/>
      <c r="U20" s="36"/>
      <c r="V20" s="36"/>
      <c r="W20" s="36"/>
      <c r="X20" s="42"/>
    </row>
    <row r="21" ht="22.5" customHeight="1">
      <c r="B21" s="12">
        <v>5.0</v>
      </c>
      <c r="C21" s="54" t="s">
        <v>41</v>
      </c>
      <c r="D21" s="62">
        <v>46084.0</v>
      </c>
      <c r="E21" s="62">
        <v>46085.0</v>
      </c>
      <c r="F21" s="62">
        <v>46087.0</v>
      </c>
      <c r="G21" s="62">
        <v>46091.0</v>
      </c>
      <c r="H21" s="31">
        <v>46092.0</v>
      </c>
      <c r="I21" s="62">
        <v>46094.0</v>
      </c>
      <c r="J21" s="62">
        <v>46098.0</v>
      </c>
      <c r="K21" s="62">
        <v>46099.0</v>
      </c>
      <c r="L21" s="62">
        <v>46101.0</v>
      </c>
      <c r="M21" s="62">
        <v>46105.0</v>
      </c>
      <c r="N21" s="62">
        <v>46106.0</v>
      </c>
      <c r="O21" s="62">
        <v>46108.0</v>
      </c>
      <c r="P21" s="62">
        <v>46112.0</v>
      </c>
      <c r="Q21" s="32"/>
      <c r="R21" s="36"/>
      <c r="S21" s="36"/>
      <c r="T21" s="36"/>
      <c r="U21" s="36"/>
      <c r="V21" s="36"/>
      <c r="W21" s="36"/>
      <c r="X21" s="42"/>
      <c r="Y21" s="21"/>
      <c r="Z21" s="21"/>
      <c r="AA21" s="21"/>
      <c r="AB21" s="21"/>
      <c r="AC21" s="21"/>
      <c r="AD21" s="21"/>
      <c r="AE21" s="21"/>
      <c r="AF21" s="21"/>
    </row>
    <row r="22" ht="22.5" customHeight="1">
      <c r="B22" s="22"/>
      <c r="C22" s="37" t="s">
        <v>29</v>
      </c>
      <c r="D22" s="38">
        <v>2.0</v>
      </c>
      <c r="E22" s="38">
        <v>2.0</v>
      </c>
      <c r="F22" s="38">
        <v>2.0</v>
      </c>
      <c r="G22" s="38">
        <v>2.0</v>
      </c>
      <c r="H22" s="38">
        <v>0.0</v>
      </c>
      <c r="I22" s="38">
        <v>2.0</v>
      </c>
      <c r="J22" s="43">
        <v>2.0</v>
      </c>
      <c r="K22" s="38">
        <v>2.0</v>
      </c>
      <c r="L22" s="38">
        <v>2.0</v>
      </c>
      <c r="M22" s="43">
        <v>2.0</v>
      </c>
      <c r="N22" s="43">
        <v>2.0</v>
      </c>
      <c r="O22" s="43">
        <v>2.0</v>
      </c>
      <c r="P22" s="43">
        <v>2.0</v>
      </c>
      <c r="Q22" s="41"/>
      <c r="R22" s="36"/>
      <c r="S22" s="36"/>
      <c r="T22" s="36"/>
      <c r="U22" s="36"/>
      <c r="V22" s="36"/>
      <c r="W22" s="41">
        <v>24.0</v>
      </c>
      <c r="X22" s="42">
        <f>W22*45000</f>
        <v>1080000</v>
      </c>
    </row>
    <row r="23" ht="30.0" customHeight="1">
      <c r="B23" s="28"/>
      <c r="C23" s="37" t="s">
        <v>30</v>
      </c>
      <c r="D23" s="38"/>
      <c r="E23" s="38"/>
      <c r="F23" s="38"/>
      <c r="G23" s="38"/>
      <c r="H23" s="38" t="s">
        <v>49</v>
      </c>
      <c r="I23" s="55"/>
      <c r="J23" s="55"/>
      <c r="K23" s="38"/>
      <c r="L23" s="39"/>
      <c r="M23" s="39"/>
      <c r="N23" s="48"/>
      <c r="O23" s="48"/>
      <c r="P23" s="36"/>
      <c r="Q23" s="36"/>
      <c r="R23" s="36"/>
      <c r="S23" s="36"/>
      <c r="T23" s="36"/>
      <c r="U23" s="36"/>
      <c r="V23" s="36"/>
      <c r="W23" s="36"/>
      <c r="X23" s="42"/>
    </row>
    <row r="24" ht="22.5" customHeight="1">
      <c r="B24" s="12">
        <v>6.0</v>
      </c>
      <c r="C24" s="30" t="s">
        <v>42</v>
      </c>
      <c r="D24" s="62">
        <v>46093.0</v>
      </c>
      <c r="E24" s="62">
        <v>46100.0</v>
      </c>
      <c r="F24" s="62">
        <v>46107.0</v>
      </c>
      <c r="G24" s="62"/>
      <c r="H24" s="56"/>
      <c r="I24" s="56"/>
      <c r="J24" s="56"/>
      <c r="K24" s="56"/>
      <c r="L24" s="32"/>
      <c r="M24" s="57"/>
      <c r="N24" s="57"/>
      <c r="O24" s="57"/>
      <c r="P24" s="57"/>
      <c r="Q24" s="50"/>
      <c r="R24" s="45"/>
      <c r="S24" s="41"/>
      <c r="T24" s="41"/>
      <c r="U24" s="41"/>
      <c r="V24" s="41"/>
      <c r="W24" s="41"/>
      <c r="X24" s="58"/>
      <c r="Y24" s="59"/>
      <c r="Z24" s="59"/>
      <c r="AA24" s="59"/>
      <c r="AB24" s="59"/>
      <c r="AC24" s="59"/>
      <c r="AD24" s="59"/>
      <c r="AE24" s="59"/>
      <c r="AF24" s="59"/>
    </row>
    <row r="25" ht="22.5" customHeight="1">
      <c r="B25" s="22"/>
      <c r="C25" s="37" t="s">
        <v>29</v>
      </c>
      <c r="D25" s="52">
        <v>2.0</v>
      </c>
      <c r="E25" s="52">
        <v>2.0</v>
      </c>
      <c r="F25" s="52">
        <v>2.0</v>
      </c>
      <c r="G25" s="52"/>
      <c r="H25" s="52"/>
      <c r="I25" s="51"/>
      <c r="J25" s="54"/>
      <c r="K25" s="54"/>
      <c r="L25" s="38"/>
      <c r="M25" s="43"/>
      <c r="N25" s="43"/>
      <c r="O25" s="43"/>
      <c r="P25" s="43"/>
      <c r="Q25" s="52"/>
      <c r="R25" s="36"/>
      <c r="S25" s="41"/>
      <c r="T25" s="41"/>
      <c r="U25" s="41"/>
      <c r="V25" s="41"/>
      <c r="W25" s="41">
        <v>6.0</v>
      </c>
      <c r="X25" s="42">
        <f>W25*30000</f>
        <v>180000</v>
      </c>
      <c r="Y25" s="59"/>
      <c r="Z25" s="60"/>
      <c r="AA25" s="59"/>
      <c r="AB25" s="59"/>
      <c r="AC25" s="59"/>
      <c r="AD25" s="59"/>
      <c r="AE25" s="59"/>
      <c r="AF25" s="59"/>
    </row>
    <row r="26" ht="27.0" customHeight="1">
      <c r="B26" s="28"/>
      <c r="C26" s="37" t="s">
        <v>30</v>
      </c>
      <c r="D26" s="38"/>
      <c r="E26" s="54"/>
      <c r="F26" s="55"/>
      <c r="G26" s="55"/>
      <c r="H26" s="55"/>
      <c r="I26" s="52"/>
      <c r="J26" s="55"/>
      <c r="K26" s="55"/>
      <c r="L26" s="38"/>
      <c r="M26" s="55"/>
      <c r="N26" s="38"/>
      <c r="O26" s="38"/>
      <c r="P26" s="55"/>
      <c r="Q26" s="38"/>
      <c r="R26" s="36"/>
      <c r="S26" s="36"/>
      <c r="T26" s="36"/>
      <c r="U26" s="36"/>
      <c r="V26" s="36"/>
      <c r="W26" s="36"/>
      <c r="X26" s="58"/>
      <c r="Y26" s="61"/>
      <c r="Z26" s="61"/>
      <c r="AA26" s="61"/>
      <c r="AB26" s="61"/>
      <c r="AC26" s="61"/>
      <c r="AD26" s="61"/>
      <c r="AE26" s="61"/>
      <c r="AF26" s="61"/>
    </row>
    <row r="27" ht="20.25" customHeight="1">
      <c r="B27" s="12">
        <v>7.0</v>
      </c>
      <c r="C27" s="54" t="s">
        <v>43</v>
      </c>
      <c r="D27" s="62">
        <v>46086.0</v>
      </c>
      <c r="E27" s="62">
        <v>46093.0</v>
      </c>
      <c r="F27" s="62">
        <v>46100.0</v>
      </c>
      <c r="G27" s="62">
        <v>46107.0</v>
      </c>
      <c r="H27" s="57"/>
      <c r="I27" s="33"/>
      <c r="J27" s="33"/>
      <c r="K27" s="33"/>
      <c r="L27" s="56"/>
      <c r="M27" s="56"/>
      <c r="N27" s="63"/>
      <c r="O27" s="55"/>
      <c r="P27" s="55"/>
      <c r="Q27" s="44"/>
      <c r="R27" s="36"/>
      <c r="S27" s="36"/>
      <c r="T27" s="36"/>
      <c r="U27" s="36"/>
      <c r="V27" s="36"/>
      <c r="W27" s="36"/>
      <c r="X27" s="58"/>
      <c r="Y27" s="61"/>
      <c r="Z27" s="61"/>
      <c r="AA27" s="61"/>
      <c r="AB27" s="61"/>
      <c r="AC27" s="61"/>
      <c r="AD27" s="61"/>
      <c r="AE27" s="61"/>
      <c r="AF27" s="61"/>
    </row>
    <row r="28" ht="20.25" customHeight="1">
      <c r="B28" s="22"/>
      <c r="C28" s="37" t="s">
        <v>29</v>
      </c>
      <c r="D28" s="38">
        <v>1.0</v>
      </c>
      <c r="E28" s="38">
        <v>1.0</v>
      </c>
      <c r="F28" s="38">
        <v>1.0</v>
      </c>
      <c r="G28" s="38">
        <v>1.0</v>
      </c>
      <c r="H28" s="38"/>
      <c r="I28" s="38"/>
      <c r="J28" s="38"/>
      <c r="K28" s="51"/>
      <c r="L28" s="54"/>
      <c r="M28" s="51"/>
      <c r="N28" s="51"/>
      <c r="O28" s="55"/>
      <c r="P28" s="55"/>
      <c r="Q28" s="44"/>
      <c r="R28" s="36"/>
      <c r="S28" s="36"/>
      <c r="T28" s="36"/>
      <c r="U28" s="36"/>
      <c r="V28" s="36"/>
      <c r="W28" s="41">
        <v>4.0</v>
      </c>
      <c r="X28" s="42">
        <f>W28*30000</f>
        <v>120000</v>
      </c>
      <c r="Y28" s="61"/>
      <c r="Z28" s="61"/>
      <c r="AA28" s="61"/>
      <c r="AB28" s="61"/>
      <c r="AC28" s="61"/>
      <c r="AD28" s="61"/>
      <c r="AE28" s="61"/>
      <c r="AF28" s="61"/>
    </row>
    <row r="29" ht="20.25" customHeight="1">
      <c r="B29" s="28"/>
      <c r="C29" s="37" t="s">
        <v>30</v>
      </c>
      <c r="D29" s="38"/>
      <c r="E29" s="44"/>
      <c r="F29" s="44"/>
      <c r="G29" s="45"/>
      <c r="H29" s="38"/>
      <c r="I29" s="45"/>
      <c r="J29" s="38"/>
      <c r="K29" s="38"/>
      <c r="L29" s="55"/>
      <c r="M29" s="38"/>
      <c r="N29" s="38"/>
      <c r="O29" s="55"/>
      <c r="P29" s="55"/>
      <c r="Q29" s="44"/>
      <c r="R29" s="36"/>
      <c r="S29" s="36"/>
      <c r="T29" s="36"/>
      <c r="U29" s="36"/>
      <c r="V29" s="36"/>
      <c r="W29" s="36"/>
      <c r="X29" s="58"/>
      <c r="Y29" s="61"/>
      <c r="Z29" s="61"/>
      <c r="AA29" s="61"/>
      <c r="AB29" s="61"/>
      <c r="AC29" s="61"/>
      <c r="AD29" s="61"/>
      <c r="AE29" s="61"/>
      <c r="AF29" s="61"/>
    </row>
    <row r="30" ht="22.5" customHeight="1">
      <c r="B30" s="12">
        <v>8.0</v>
      </c>
      <c r="C30" s="54" t="s">
        <v>44</v>
      </c>
      <c r="D30" s="62">
        <v>46084.0</v>
      </c>
      <c r="E30" s="62">
        <v>46087.0</v>
      </c>
      <c r="F30" s="62">
        <v>46091.0</v>
      </c>
      <c r="G30" s="62">
        <v>46094.0</v>
      </c>
      <c r="H30" s="62">
        <v>46098.0</v>
      </c>
      <c r="I30" s="62">
        <v>46101.0</v>
      </c>
      <c r="J30" s="62">
        <v>46105.0</v>
      </c>
      <c r="K30" s="62">
        <v>46108.0</v>
      </c>
      <c r="L30" s="62">
        <v>46111.0</v>
      </c>
      <c r="M30" s="45"/>
      <c r="N30" s="45"/>
      <c r="O30" s="45"/>
      <c r="P30" s="45"/>
      <c r="Q30" s="36"/>
      <c r="R30" s="36"/>
      <c r="S30" s="36"/>
      <c r="T30" s="36"/>
      <c r="U30" s="36"/>
      <c r="V30" s="36"/>
      <c r="W30" s="36"/>
      <c r="X30" s="42"/>
      <c r="Y30" s="21"/>
      <c r="Z30" s="21"/>
      <c r="AA30" s="21"/>
      <c r="AB30" s="21"/>
      <c r="AC30" s="21"/>
      <c r="AD30" s="21"/>
      <c r="AE30" s="21"/>
      <c r="AF30" s="21"/>
    </row>
    <row r="31" ht="22.5" customHeight="1">
      <c r="B31" s="22"/>
      <c r="C31" s="37" t="s">
        <v>29</v>
      </c>
      <c r="D31" s="38">
        <v>1.0</v>
      </c>
      <c r="E31" s="38">
        <v>1.0</v>
      </c>
      <c r="F31" s="38">
        <v>1.0</v>
      </c>
      <c r="G31" s="38">
        <v>1.0</v>
      </c>
      <c r="H31" s="38">
        <v>1.0</v>
      </c>
      <c r="I31" s="44">
        <v>1.0</v>
      </c>
      <c r="J31" s="43">
        <v>1.0</v>
      </c>
      <c r="K31" s="43">
        <v>1.0</v>
      </c>
      <c r="L31" s="43">
        <v>1.0</v>
      </c>
      <c r="M31" s="64"/>
      <c r="N31" s="34"/>
      <c r="O31" s="34"/>
      <c r="P31" s="36"/>
      <c r="Q31" s="36"/>
      <c r="R31" s="36"/>
      <c r="S31" s="36"/>
      <c r="T31" s="36"/>
      <c r="U31" s="36"/>
      <c r="V31" s="36"/>
      <c r="W31" s="41">
        <v>9.0</v>
      </c>
      <c r="X31" s="42">
        <f>W31*30000</f>
        <v>270000</v>
      </c>
      <c r="Y31" s="21"/>
      <c r="Z31" s="21"/>
      <c r="AA31" s="21"/>
      <c r="AB31" s="21"/>
      <c r="AC31" s="21"/>
      <c r="AD31" s="21"/>
      <c r="AE31" s="21"/>
      <c r="AF31" s="21"/>
    </row>
    <row r="32" ht="29.25" customHeight="1">
      <c r="B32" s="28"/>
      <c r="C32" s="37" t="s">
        <v>30</v>
      </c>
      <c r="D32" s="45"/>
      <c r="E32" s="50"/>
      <c r="F32" s="50"/>
      <c r="G32" s="50"/>
      <c r="H32" s="44"/>
      <c r="I32" s="44"/>
      <c r="J32" s="39"/>
      <c r="K32" s="39"/>
      <c r="L32" s="43" t="s">
        <v>50</v>
      </c>
      <c r="M32" s="39"/>
      <c r="N32" s="40"/>
      <c r="O32" s="40"/>
      <c r="P32" s="36"/>
      <c r="Q32" s="36"/>
      <c r="R32" s="36"/>
      <c r="S32" s="36"/>
      <c r="T32" s="36"/>
      <c r="U32" s="36"/>
      <c r="V32" s="36"/>
      <c r="W32" s="36"/>
      <c r="X32" s="42"/>
    </row>
    <row r="33" ht="21.75" customHeight="1">
      <c r="A33" s="1"/>
      <c r="B33" s="12">
        <v>9.0</v>
      </c>
      <c r="C33" s="54" t="s">
        <v>51</v>
      </c>
      <c r="D33" s="62">
        <v>46085.0</v>
      </c>
      <c r="E33" s="62">
        <v>46087.0</v>
      </c>
      <c r="F33" s="62">
        <v>46088.0</v>
      </c>
      <c r="G33" s="62">
        <v>46090.0</v>
      </c>
      <c r="H33" s="62">
        <v>46092.0</v>
      </c>
      <c r="I33" s="62">
        <v>46094.0</v>
      </c>
      <c r="J33" s="62">
        <v>46097.0</v>
      </c>
      <c r="K33" s="62">
        <v>46099.0</v>
      </c>
      <c r="L33" s="62">
        <v>46101.0</v>
      </c>
      <c r="M33" s="32"/>
      <c r="N33" s="32"/>
      <c r="O33" s="32"/>
      <c r="P33" s="32"/>
      <c r="Q33" s="36"/>
      <c r="R33" s="36"/>
      <c r="S33" s="36"/>
      <c r="T33" s="36"/>
      <c r="U33" s="36"/>
      <c r="V33" s="36"/>
      <c r="W33" s="36"/>
      <c r="X33" s="42"/>
    </row>
    <row r="34" ht="21.75" customHeight="1">
      <c r="A34" s="1"/>
      <c r="B34" s="22"/>
      <c r="C34" s="37" t="s">
        <v>29</v>
      </c>
      <c r="D34" s="51">
        <v>1.0</v>
      </c>
      <c r="E34" s="51">
        <v>1.0</v>
      </c>
      <c r="F34" s="51">
        <v>1.0</v>
      </c>
      <c r="G34" s="44">
        <v>1.0</v>
      </c>
      <c r="H34" s="44">
        <v>1.0</v>
      </c>
      <c r="I34" s="44">
        <v>1.0</v>
      </c>
      <c r="J34" s="43">
        <v>1.0</v>
      </c>
      <c r="K34" s="43">
        <v>1.0</v>
      </c>
      <c r="L34" s="43">
        <v>1.0</v>
      </c>
      <c r="M34" s="43"/>
      <c r="N34" s="40"/>
      <c r="O34" s="40"/>
      <c r="P34" s="36"/>
      <c r="Q34" s="36"/>
      <c r="R34" s="36"/>
      <c r="S34" s="36"/>
      <c r="T34" s="36"/>
      <c r="U34" s="36"/>
      <c r="V34" s="36"/>
      <c r="W34" s="41">
        <v>9.0</v>
      </c>
      <c r="X34" s="42">
        <f>W34*30000</f>
        <v>270000</v>
      </c>
    </row>
    <row r="35" ht="29.25" customHeight="1">
      <c r="A35" s="1"/>
      <c r="B35" s="28"/>
      <c r="C35" s="37" t="s">
        <v>30</v>
      </c>
      <c r="D35" s="45"/>
      <c r="E35" s="51"/>
      <c r="F35" s="50"/>
      <c r="G35" s="50"/>
      <c r="H35" s="44"/>
      <c r="I35" s="44"/>
      <c r="J35" s="39"/>
      <c r="K35" s="39"/>
      <c r="L35" s="39"/>
      <c r="M35" s="39"/>
      <c r="N35" s="40"/>
      <c r="O35" s="40"/>
      <c r="P35" s="36"/>
      <c r="Q35" s="36"/>
      <c r="R35" s="36"/>
      <c r="S35" s="36"/>
      <c r="T35" s="36"/>
      <c r="U35" s="36"/>
      <c r="V35" s="36"/>
      <c r="W35" s="36"/>
      <c r="X35" s="42"/>
    </row>
    <row r="36" ht="21.75" customHeight="1">
      <c r="A36" s="1"/>
      <c r="B36" s="12">
        <v>10.0</v>
      </c>
      <c r="C36" s="30" t="s">
        <v>52</v>
      </c>
      <c r="D36" s="62">
        <v>46084.0</v>
      </c>
      <c r="E36" s="62">
        <v>46085.0</v>
      </c>
      <c r="F36" s="62">
        <v>46086.0</v>
      </c>
      <c r="G36" s="65">
        <v>46091.0</v>
      </c>
      <c r="H36" s="62">
        <v>46092.0</v>
      </c>
      <c r="I36" s="62">
        <v>46093.0</v>
      </c>
      <c r="J36" s="62">
        <v>46098.0</v>
      </c>
      <c r="K36" s="62">
        <v>46099.0</v>
      </c>
      <c r="L36" s="62">
        <v>46100.0</v>
      </c>
      <c r="M36" s="32"/>
      <c r="N36" s="40"/>
      <c r="O36" s="40"/>
      <c r="P36" s="36"/>
      <c r="Q36" s="36"/>
      <c r="R36" s="36"/>
      <c r="S36" s="36"/>
      <c r="T36" s="36"/>
      <c r="U36" s="36"/>
      <c r="V36" s="36"/>
      <c r="W36" s="36"/>
      <c r="X36" s="42"/>
    </row>
    <row r="37" ht="21.75" customHeight="1">
      <c r="A37" s="1"/>
      <c r="B37" s="22"/>
      <c r="C37" s="37" t="s">
        <v>29</v>
      </c>
      <c r="D37" s="51">
        <v>1.0</v>
      </c>
      <c r="E37" s="51">
        <v>1.0</v>
      </c>
      <c r="F37" s="51">
        <v>1.0</v>
      </c>
      <c r="G37" s="44">
        <v>1.0</v>
      </c>
      <c r="H37" s="44">
        <v>1.0</v>
      </c>
      <c r="I37" s="44">
        <v>1.0</v>
      </c>
      <c r="J37" s="43">
        <v>1.0</v>
      </c>
      <c r="K37" s="43">
        <v>1.0</v>
      </c>
      <c r="L37" s="43">
        <v>1.0</v>
      </c>
      <c r="M37" s="43"/>
      <c r="N37" s="40"/>
      <c r="O37" s="40"/>
      <c r="P37" s="36"/>
      <c r="Q37" s="36"/>
      <c r="R37" s="36"/>
      <c r="S37" s="36"/>
      <c r="T37" s="36"/>
      <c r="U37" s="36"/>
      <c r="V37" s="36"/>
      <c r="W37" s="41">
        <v>9.0</v>
      </c>
      <c r="X37" s="42">
        <f>W37*30000</f>
        <v>270000</v>
      </c>
    </row>
    <row r="38" ht="32.25" customHeight="1">
      <c r="A38" s="1"/>
      <c r="B38" s="28"/>
      <c r="C38" s="37" t="s">
        <v>30</v>
      </c>
      <c r="D38" s="45"/>
      <c r="E38" s="51"/>
      <c r="F38" s="50"/>
      <c r="G38" s="50"/>
      <c r="H38" s="44"/>
      <c r="I38" s="44"/>
      <c r="J38" s="39"/>
      <c r="K38" s="39"/>
      <c r="L38" s="39"/>
      <c r="M38" s="39"/>
      <c r="N38" s="40"/>
      <c r="O38" s="40"/>
      <c r="P38" s="36"/>
      <c r="Q38" s="36"/>
      <c r="R38" s="36"/>
      <c r="S38" s="36"/>
      <c r="T38" s="36"/>
      <c r="U38" s="36"/>
      <c r="V38" s="36"/>
      <c r="W38" s="36"/>
      <c r="X38" s="42"/>
    </row>
    <row r="39" ht="27.0" customHeight="1">
      <c r="A39" s="1"/>
      <c r="B39" s="12">
        <v>11.0</v>
      </c>
      <c r="C39" s="30" t="s">
        <v>53</v>
      </c>
      <c r="D39" s="62">
        <v>46091.0</v>
      </c>
      <c r="E39" s="62">
        <v>46098.0</v>
      </c>
      <c r="F39" s="62">
        <v>46105.0</v>
      </c>
      <c r="G39" s="62">
        <v>46112.0</v>
      </c>
      <c r="H39" s="32"/>
      <c r="I39" s="32"/>
      <c r="J39" s="32"/>
      <c r="K39" s="39"/>
      <c r="L39" s="39"/>
      <c r="M39" s="39"/>
      <c r="N39" s="40"/>
      <c r="O39" s="40"/>
      <c r="P39" s="36"/>
      <c r="Q39" s="36"/>
      <c r="R39" s="36"/>
      <c r="S39" s="36"/>
      <c r="T39" s="36"/>
      <c r="U39" s="36"/>
      <c r="V39" s="36"/>
      <c r="W39" s="36"/>
      <c r="X39" s="42"/>
    </row>
    <row r="40" ht="27.0" customHeight="1">
      <c r="A40" s="1"/>
      <c r="B40" s="22"/>
      <c r="C40" s="37" t="s">
        <v>29</v>
      </c>
      <c r="D40" s="38">
        <v>1.0</v>
      </c>
      <c r="E40" s="38">
        <v>1.0</v>
      </c>
      <c r="F40" s="38">
        <v>1.0</v>
      </c>
      <c r="G40" s="44">
        <v>1.0</v>
      </c>
      <c r="H40" s="44"/>
      <c r="I40" s="44"/>
      <c r="J40" s="39"/>
      <c r="K40" s="39"/>
      <c r="L40" s="39"/>
      <c r="M40" s="39"/>
      <c r="N40" s="40"/>
      <c r="O40" s="40"/>
      <c r="P40" s="36"/>
      <c r="Q40" s="36"/>
      <c r="R40" s="36"/>
      <c r="S40" s="36"/>
      <c r="T40" s="36"/>
      <c r="U40" s="36"/>
      <c r="V40" s="36"/>
      <c r="W40" s="41">
        <v>4.0</v>
      </c>
      <c r="X40" s="42">
        <f>W40*30000</f>
        <v>120000</v>
      </c>
    </row>
    <row r="41" ht="27.0" customHeight="1">
      <c r="A41" s="1"/>
      <c r="B41" s="28"/>
      <c r="C41" s="37" t="s">
        <v>30</v>
      </c>
      <c r="D41" s="45"/>
      <c r="E41" s="50"/>
      <c r="F41" s="50"/>
      <c r="G41" s="50"/>
      <c r="H41" s="44"/>
      <c r="I41" s="44"/>
      <c r="J41" s="39"/>
      <c r="K41" s="39"/>
      <c r="L41" s="39"/>
      <c r="M41" s="39"/>
      <c r="N41" s="40"/>
      <c r="O41" s="40"/>
      <c r="P41" s="36"/>
      <c r="Q41" s="36"/>
      <c r="R41" s="36"/>
      <c r="S41" s="36"/>
      <c r="T41" s="36"/>
      <c r="U41" s="36"/>
      <c r="V41" s="36"/>
      <c r="W41" s="36"/>
      <c r="X41" s="42"/>
    </row>
    <row r="42" ht="27.0" customHeight="1">
      <c r="A42" s="1"/>
      <c r="B42" s="12">
        <v>12.0</v>
      </c>
      <c r="C42" s="54"/>
      <c r="D42" s="57"/>
      <c r="E42" s="57"/>
      <c r="F42" s="33"/>
      <c r="G42" s="33"/>
      <c r="H42" s="33"/>
      <c r="I42" s="33"/>
      <c r="J42" s="33"/>
      <c r="K42" s="33"/>
      <c r="L42" s="33"/>
      <c r="M42" s="39"/>
      <c r="N42" s="40"/>
      <c r="O42" s="40"/>
      <c r="P42" s="36"/>
      <c r="Q42" s="36"/>
      <c r="R42" s="36"/>
      <c r="S42" s="36"/>
      <c r="T42" s="36"/>
      <c r="U42" s="36"/>
      <c r="V42" s="36"/>
      <c r="W42" s="36"/>
      <c r="X42" s="42"/>
    </row>
    <row r="43" ht="27.0" customHeight="1">
      <c r="A43" s="1"/>
      <c r="B43" s="22"/>
      <c r="C43" s="37"/>
      <c r="D43" s="51"/>
      <c r="E43" s="51"/>
      <c r="F43" s="50"/>
      <c r="G43" s="50"/>
      <c r="H43" s="44"/>
      <c r="I43" s="44"/>
      <c r="J43" s="39"/>
      <c r="K43" s="39"/>
      <c r="L43" s="39"/>
      <c r="M43" s="39"/>
      <c r="N43" s="40"/>
      <c r="O43" s="40"/>
      <c r="P43" s="36"/>
      <c r="Q43" s="36"/>
      <c r="R43" s="36"/>
      <c r="S43" s="36"/>
      <c r="T43" s="36"/>
      <c r="U43" s="36"/>
      <c r="V43" s="36"/>
      <c r="W43" s="36"/>
      <c r="X43" s="42"/>
    </row>
    <row r="44" ht="27.0" customHeight="1">
      <c r="A44" s="1"/>
      <c r="B44" s="28"/>
      <c r="C44" s="37"/>
      <c r="D44" s="45"/>
      <c r="E44" s="50"/>
      <c r="F44" s="50"/>
      <c r="G44" s="50"/>
      <c r="H44" s="44"/>
      <c r="I44" s="44"/>
      <c r="J44" s="39"/>
      <c r="K44" s="39"/>
      <c r="L44" s="39"/>
      <c r="M44" s="39"/>
      <c r="N44" s="40"/>
      <c r="O44" s="40"/>
      <c r="P44" s="36"/>
      <c r="Q44" s="36"/>
      <c r="R44" s="36"/>
      <c r="S44" s="36"/>
      <c r="T44" s="36"/>
      <c r="U44" s="36"/>
      <c r="V44" s="36"/>
      <c r="W44" s="36"/>
      <c r="X44" s="42"/>
    </row>
    <row r="45" ht="27.0" customHeight="1">
      <c r="A45" s="1"/>
      <c r="B45" s="12">
        <v>13.0</v>
      </c>
      <c r="C45" s="54"/>
      <c r="D45" s="45"/>
      <c r="E45" s="45"/>
      <c r="F45" s="50"/>
      <c r="G45" s="50"/>
      <c r="H45" s="44"/>
      <c r="I45" s="44"/>
      <c r="J45" s="39"/>
      <c r="K45" s="39"/>
      <c r="L45" s="39"/>
      <c r="M45" s="39"/>
      <c r="N45" s="40"/>
      <c r="O45" s="40"/>
      <c r="P45" s="36"/>
      <c r="Q45" s="36"/>
      <c r="R45" s="36"/>
      <c r="S45" s="36"/>
      <c r="T45" s="36"/>
      <c r="U45" s="36"/>
      <c r="V45" s="36"/>
      <c r="W45" s="36"/>
      <c r="X45" s="42"/>
    </row>
    <row r="46" ht="32.25" customHeight="1">
      <c r="A46" s="1"/>
      <c r="B46" s="22"/>
      <c r="C46" s="37"/>
      <c r="D46" s="38"/>
      <c r="E46" s="38"/>
      <c r="F46" s="44"/>
      <c r="G46" s="44"/>
      <c r="H46" s="44"/>
      <c r="I46" s="44"/>
      <c r="J46" s="39"/>
      <c r="K46" s="39"/>
      <c r="L46" s="39"/>
      <c r="M46" s="39"/>
      <c r="N46" s="40"/>
      <c r="O46" s="40"/>
      <c r="P46" s="36"/>
      <c r="Q46" s="36"/>
      <c r="R46" s="36"/>
      <c r="S46" s="36"/>
      <c r="T46" s="36"/>
      <c r="U46" s="36"/>
      <c r="V46" s="36"/>
      <c r="W46" s="36"/>
      <c r="X46" s="27">
        <v>0.0</v>
      </c>
    </row>
    <row r="47" ht="32.25" customHeight="1">
      <c r="A47" s="7"/>
      <c r="B47" s="28"/>
      <c r="C47" s="37"/>
      <c r="D47" s="66"/>
      <c r="E47" s="44"/>
      <c r="F47" s="44"/>
      <c r="G47" s="44"/>
      <c r="H47" s="44"/>
      <c r="I47" s="44"/>
      <c r="J47" s="39"/>
      <c r="K47" s="39"/>
      <c r="L47" s="39"/>
      <c r="M47" s="39"/>
      <c r="N47" s="40"/>
      <c r="O47" s="40"/>
      <c r="P47" s="36"/>
      <c r="Q47" s="36"/>
      <c r="R47" s="36"/>
      <c r="S47" s="36"/>
      <c r="T47" s="36"/>
      <c r="U47" s="36"/>
      <c r="V47" s="36"/>
      <c r="W47" s="36"/>
      <c r="X47" s="42"/>
    </row>
    <row r="48">
      <c r="A48" s="1"/>
      <c r="B48" s="30" t="s">
        <v>46</v>
      </c>
      <c r="C48" s="6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T48" s="39"/>
      <c r="U48" s="39"/>
      <c r="V48" s="39"/>
      <c r="W48" s="39"/>
      <c r="X48" s="68">
        <f>SUM(X10:X47)</f>
        <v>3120000</v>
      </c>
    </row>
    <row r="49">
      <c r="A49" s="1"/>
      <c r="B49" s="30" t="s">
        <v>47</v>
      </c>
      <c r="C49" s="6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  <c r="T49" s="39"/>
      <c r="U49" s="39"/>
      <c r="V49" s="39"/>
      <c r="W49" s="39"/>
      <c r="X49" s="68">
        <f>X48-(X48*0.033)</f>
        <v>3017040</v>
      </c>
    </row>
    <row r="50">
      <c r="B50" s="40"/>
      <c r="C50" s="48"/>
      <c r="D50" s="40"/>
      <c r="E50" s="40"/>
      <c r="F50" s="40"/>
      <c r="G50" s="40"/>
      <c r="H50" s="48"/>
      <c r="I50" s="48"/>
      <c r="J50" s="48"/>
      <c r="K50" s="48"/>
      <c r="L50" s="40"/>
      <c r="M50" s="40"/>
      <c r="N50" s="40"/>
      <c r="O50" s="40"/>
      <c r="P50" s="69"/>
      <c r="Q50" s="69"/>
      <c r="R50" s="69"/>
      <c r="S50" s="69"/>
      <c r="T50" s="69"/>
      <c r="U50" s="69"/>
      <c r="V50" s="69"/>
      <c r="W50" s="69"/>
      <c r="X50" s="40"/>
    </row>
    <row r="51">
      <c r="C51" s="61"/>
      <c r="H51" s="61"/>
      <c r="I51" s="61"/>
      <c r="J51" s="61"/>
      <c r="K51" s="61"/>
    </row>
    <row r="52">
      <c r="C52" s="61"/>
      <c r="H52" s="61"/>
      <c r="I52" s="61"/>
      <c r="J52" s="61"/>
      <c r="K52" s="61"/>
    </row>
    <row r="53">
      <c r="C53" s="61"/>
      <c r="H53" s="61"/>
      <c r="I53" s="61"/>
      <c r="J53" s="61"/>
      <c r="K53" s="61"/>
    </row>
    <row r="54">
      <c r="C54" s="61"/>
      <c r="H54" s="61"/>
      <c r="I54" s="61"/>
      <c r="J54" s="61"/>
      <c r="K54" s="61"/>
    </row>
    <row r="55">
      <c r="C55" s="61"/>
      <c r="H55" s="61"/>
      <c r="I55" s="61"/>
      <c r="J55" s="61"/>
      <c r="K55" s="61"/>
    </row>
    <row r="56">
      <c r="C56" s="61"/>
      <c r="H56" s="61"/>
      <c r="I56" s="61"/>
      <c r="J56" s="61"/>
      <c r="K56" s="61"/>
    </row>
    <row r="57">
      <c r="C57" s="61"/>
      <c r="H57" s="61"/>
      <c r="I57" s="61"/>
      <c r="J57" s="61"/>
      <c r="K57" s="61"/>
    </row>
    <row r="58">
      <c r="C58" s="61"/>
      <c r="H58" s="61"/>
      <c r="I58" s="61"/>
      <c r="J58" s="61"/>
      <c r="K58" s="61"/>
    </row>
    <row r="59">
      <c r="C59" s="61"/>
      <c r="H59" s="61"/>
      <c r="I59" s="61"/>
      <c r="J59" s="61"/>
      <c r="K59" s="61"/>
    </row>
    <row r="60">
      <c r="C60" s="61"/>
      <c r="H60" s="61"/>
      <c r="I60" s="61"/>
      <c r="J60" s="61"/>
      <c r="K60" s="61"/>
    </row>
    <row r="61">
      <c r="C61" s="61"/>
      <c r="H61" s="61"/>
      <c r="I61" s="61"/>
      <c r="J61" s="61"/>
      <c r="K61" s="61"/>
    </row>
    <row r="62">
      <c r="C62" s="61"/>
      <c r="H62" s="61"/>
      <c r="I62" s="61"/>
      <c r="J62" s="61"/>
      <c r="K62" s="61"/>
    </row>
    <row r="63">
      <c r="C63" s="61"/>
      <c r="H63" s="61"/>
      <c r="I63" s="61"/>
      <c r="J63" s="61"/>
      <c r="K63" s="61"/>
    </row>
    <row r="64">
      <c r="C64" s="61"/>
      <c r="H64" s="61"/>
      <c r="I64" s="61"/>
      <c r="J64" s="61"/>
      <c r="K64" s="61"/>
    </row>
    <row r="65">
      <c r="C65" s="61"/>
      <c r="H65" s="61"/>
      <c r="I65" s="61"/>
      <c r="J65" s="61"/>
      <c r="K65" s="61"/>
    </row>
    <row r="66">
      <c r="C66" s="61"/>
      <c r="H66" s="61"/>
      <c r="I66" s="61"/>
      <c r="J66" s="61"/>
      <c r="K66" s="61"/>
    </row>
    <row r="67">
      <c r="C67" s="61"/>
      <c r="H67" s="61"/>
      <c r="I67" s="61"/>
      <c r="J67" s="61"/>
      <c r="K67" s="61"/>
    </row>
    <row r="68">
      <c r="C68" s="61"/>
      <c r="H68" s="61"/>
      <c r="I68" s="61"/>
      <c r="J68" s="61"/>
      <c r="K68" s="61"/>
    </row>
    <row r="69">
      <c r="C69" s="61"/>
      <c r="H69" s="61"/>
      <c r="I69" s="61"/>
      <c r="J69" s="61"/>
      <c r="K69" s="61"/>
    </row>
    <row r="70">
      <c r="C70" s="61"/>
      <c r="H70" s="61"/>
      <c r="I70" s="61"/>
      <c r="J70" s="61"/>
      <c r="K70" s="61"/>
    </row>
    <row r="71">
      <c r="C71" s="61"/>
      <c r="H71" s="61"/>
      <c r="I71" s="61"/>
      <c r="J71" s="61"/>
      <c r="K71" s="61"/>
    </row>
    <row r="72">
      <c r="C72" s="61"/>
      <c r="H72" s="61"/>
      <c r="I72" s="61"/>
      <c r="J72" s="61"/>
      <c r="K72" s="61"/>
    </row>
    <row r="73">
      <c r="C73" s="61"/>
      <c r="H73" s="61"/>
      <c r="I73" s="61"/>
      <c r="J73" s="61"/>
      <c r="K73" s="61"/>
    </row>
    <row r="74">
      <c r="C74" s="61"/>
      <c r="H74" s="61"/>
      <c r="I74" s="61"/>
      <c r="J74" s="61"/>
      <c r="K74" s="61"/>
    </row>
    <row r="75">
      <c r="C75" s="61"/>
      <c r="H75" s="61"/>
      <c r="I75" s="61"/>
      <c r="J75" s="61"/>
      <c r="K75" s="61"/>
    </row>
    <row r="76">
      <c r="C76" s="61"/>
      <c r="H76" s="61"/>
      <c r="I76" s="61"/>
      <c r="J76" s="61"/>
      <c r="K76" s="61"/>
    </row>
    <row r="77">
      <c r="C77" s="61"/>
      <c r="H77" s="61"/>
      <c r="I77" s="61"/>
      <c r="J77" s="61"/>
      <c r="K77" s="61"/>
    </row>
    <row r="78">
      <c r="C78" s="61"/>
      <c r="H78" s="61"/>
      <c r="I78" s="61"/>
      <c r="J78" s="61"/>
      <c r="K78" s="61"/>
    </row>
    <row r="79">
      <c r="C79" s="61"/>
      <c r="H79" s="61"/>
      <c r="I79" s="61"/>
      <c r="J79" s="61"/>
      <c r="K79" s="61"/>
    </row>
    <row r="80">
      <c r="C80" s="61"/>
      <c r="H80" s="61"/>
      <c r="I80" s="61"/>
      <c r="J80" s="61"/>
      <c r="K80" s="61"/>
    </row>
    <row r="81">
      <c r="C81" s="61"/>
      <c r="H81" s="61"/>
      <c r="I81" s="61"/>
      <c r="J81" s="61"/>
      <c r="K81" s="61"/>
    </row>
    <row r="82">
      <c r="C82" s="61"/>
      <c r="H82" s="61"/>
      <c r="I82" s="61"/>
      <c r="J82" s="61"/>
      <c r="K82" s="61"/>
    </row>
    <row r="83">
      <c r="C83" s="61"/>
      <c r="H83" s="61"/>
      <c r="I83" s="61"/>
      <c r="J83" s="61"/>
      <c r="K83" s="61"/>
    </row>
    <row r="84">
      <c r="C84" s="61"/>
      <c r="H84" s="61"/>
      <c r="I84" s="61"/>
      <c r="J84" s="61"/>
      <c r="K84" s="61"/>
    </row>
    <row r="85">
      <c r="C85" s="61"/>
      <c r="H85" s="61"/>
      <c r="I85" s="61"/>
      <c r="J85" s="61"/>
      <c r="K85" s="61"/>
    </row>
    <row r="86">
      <c r="C86" s="61"/>
      <c r="H86" s="61"/>
      <c r="I86" s="61"/>
      <c r="J86" s="61"/>
      <c r="K86" s="61"/>
    </row>
    <row r="87">
      <c r="C87" s="61"/>
      <c r="H87" s="61"/>
      <c r="I87" s="61"/>
      <c r="J87" s="61"/>
      <c r="K87" s="61"/>
    </row>
    <row r="88">
      <c r="C88" s="61"/>
      <c r="H88" s="61"/>
      <c r="I88" s="61"/>
      <c r="J88" s="61"/>
      <c r="K88" s="61"/>
    </row>
    <row r="89">
      <c r="C89" s="61"/>
      <c r="H89" s="61"/>
      <c r="I89" s="61"/>
      <c r="J89" s="61"/>
      <c r="K89" s="61"/>
    </row>
    <row r="90">
      <c r="C90" s="61"/>
      <c r="H90" s="61"/>
      <c r="I90" s="61"/>
      <c r="J90" s="61"/>
      <c r="K90" s="61"/>
    </row>
    <row r="91">
      <c r="C91" s="61"/>
      <c r="H91" s="61"/>
      <c r="I91" s="61"/>
      <c r="J91" s="61"/>
      <c r="K91" s="61"/>
    </row>
    <row r="92">
      <c r="C92" s="61"/>
      <c r="H92" s="61"/>
      <c r="I92" s="61"/>
      <c r="J92" s="61"/>
      <c r="K92" s="61"/>
    </row>
    <row r="93">
      <c r="C93" s="61"/>
      <c r="H93" s="61"/>
      <c r="I93" s="61"/>
      <c r="J93" s="61"/>
      <c r="K93" s="61"/>
    </row>
    <row r="94">
      <c r="C94" s="61"/>
      <c r="H94" s="61"/>
      <c r="I94" s="61"/>
      <c r="J94" s="61"/>
      <c r="K94" s="61"/>
    </row>
    <row r="95">
      <c r="C95" s="61"/>
      <c r="H95" s="61"/>
      <c r="I95" s="61"/>
      <c r="J95" s="61"/>
      <c r="K95" s="61"/>
    </row>
    <row r="96">
      <c r="C96" s="61"/>
      <c r="H96" s="61"/>
      <c r="I96" s="61"/>
      <c r="J96" s="61"/>
      <c r="K96" s="61"/>
    </row>
    <row r="97">
      <c r="C97" s="61"/>
      <c r="H97" s="61"/>
      <c r="I97" s="61"/>
      <c r="J97" s="61"/>
      <c r="K97" s="61"/>
    </row>
    <row r="98">
      <c r="C98" s="61"/>
      <c r="H98" s="61"/>
      <c r="I98" s="61"/>
      <c r="J98" s="61"/>
      <c r="K98" s="61"/>
    </row>
    <row r="99">
      <c r="C99" s="61"/>
      <c r="H99" s="61"/>
      <c r="I99" s="61"/>
      <c r="J99" s="61"/>
      <c r="K99" s="61"/>
    </row>
    <row r="100">
      <c r="C100" s="61"/>
      <c r="H100" s="61"/>
      <c r="I100" s="61"/>
      <c r="J100" s="61"/>
      <c r="K100" s="61"/>
    </row>
    <row r="101">
      <c r="C101" s="61"/>
      <c r="H101" s="61"/>
      <c r="I101" s="61"/>
      <c r="J101" s="61"/>
      <c r="K101" s="61"/>
    </row>
    <row r="102">
      <c r="C102" s="61"/>
      <c r="H102" s="61"/>
      <c r="I102" s="61"/>
      <c r="J102" s="61"/>
      <c r="K102" s="61"/>
    </row>
    <row r="103">
      <c r="C103" s="61"/>
      <c r="H103" s="61"/>
      <c r="I103" s="61"/>
      <c r="J103" s="61"/>
      <c r="K103" s="61"/>
    </row>
    <row r="104">
      <c r="C104" s="61"/>
      <c r="H104" s="61"/>
      <c r="I104" s="61"/>
      <c r="J104" s="61"/>
      <c r="K104" s="61"/>
    </row>
    <row r="105">
      <c r="C105" s="61"/>
      <c r="H105" s="61"/>
      <c r="I105" s="61"/>
      <c r="J105" s="61"/>
      <c r="K105" s="61"/>
    </row>
    <row r="106">
      <c r="C106" s="61"/>
      <c r="H106" s="61"/>
      <c r="I106" s="61"/>
      <c r="J106" s="61"/>
      <c r="K106" s="61"/>
    </row>
    <row r="107">
      <c r="C107" s="61"/>
      <c r="H107" s="61"/>
      <c r="I107" s="61"/>
      <c r="J107" s="61"/>
      <c r="K107" s="61"/>
    </row>
    <row r="108">
      <c r="C108" s="61"/>
      <c r="H108" s="61"/>
      <c r="I108" s="61"/>
      <c r="J108" s="61"/>
      <c r="K108" s="61"/>
    </row>
    <row r="109">
      <c r="C109" s="61"/>
      <c r="H109" s="61"/>
      <c r="I109" s="61"/>
      <c r="J109" s="61"/>
      <c r="K109" s="61"/>
    </row>
    <row r="110">
      <c r="C110" s="61"/>
      <c r="H110" s="61"/>
      <c r="I110" s="61"/>
      <c r="J110" s="61"/>
      <c r="K110" s="61"/>
    </row>
    <row r="111">
      <c r="C111" s="61"/>
      <c r="H111" s="61"/>
      <c r="I111" s="61"/>
      <c r="J111" s="61"/>
      <c r="K111" s="61"/>
    </row>
    <row r="112">
      <c r="C112" s="61"/>
      <c r="H112" s="61"/>
      <c r="I112" s="61"/>
      <c r="J112" s="61"/>
      <c r="K112" s="61"/>
    </row>
    <row r="113">
      <c r="C113" s="61"/>
      <c r="H113" s="61"/>
      <c r="I113" s="61"/>
      <c r="J113" s="61"/>
      <c r="K113" s="61"/>
    </row>
    <row r="114">
      <c r="C114" s="61"/>
      <c r="H114" s="61"/>
      <c r="I114" s="61"/>
      <c r="J114" s="61"/>
      <c r="K114" s="61"/>
    </row>
    <row r="115">
      <c r="C115" s="61"/>
      <c r="H115" s="61"/>
      <c r="I115" s="61"/>
      <c r="J115" s="61"/>
      <c r="K115" s="61"/>
    </row>
    <row r="116">
      <c r="C116" s="61"/>
      <c r="H116" s="61"/>
      <c r="I116" s="61"/>
      <c r="J116" s="61"/>
      <c r="K116" s="61"/>
    </row>
    <row r="117">
      <c r="C117" s="61"/>
      <c r="H117" s="61"/>
      <c r="I117" s="61"/>
      <c r="J117" s="61"/>
      <c r="K117" s="61"/>
    </row>
    <row r="118">
      <c r="C118" s="61"/>
      <c r="H118" s="61"/>
      <c r="I118" s="61"/>
      <c r="J118" s="61"/>
      <c r="K118" s="61"/>
    </row>
    <row r="119">
      <c r="C119" s="61"/>
      <c r="H119" s="61"/>
      <c r="I119" s="61"/>
      <c r="J119" s="61"/>
      <c r="K119" s="61"/>
    </row>
    <row r="120">
      <c r="C120" s="61"/>
      <c r="H120" s="61"/>
      <c r="I120" s="61"/>
      <c r="J120" s="61"/>
      <c r="K120" s="61"/>
    </row>
    <row r="121">
      <c r="C121" s="61"/>
      <c r="H121" s="61"/>
      <c r="I121" s="61"/>
      <c r="J121" s="61"/>
      <c r="K121" s="61"/>
    </row>
    <row r="122">
      <c r="C122" s="61"/>
      <c r="H122" s="61"/>
      <c r="I122" s="61"/>
      <c r="J122" s="61"/>
      <c r="K122" s="61"/>
    </row>
    <row r="123">
      <c r="C123" s="61"/>
      <c r="H123" s="61"/>
      <c r="I123" s="61"/>
      <c r="J123" s="61"/>
      <c r="K123" s="61"/>
    </row>
    <row r="124">
      <c r="C124" s="61"/>
      <c r="H124" s="61"/>
      <c r="I124" s="61"/>
      <c r="J124" s="61"/>
      <c r="K124" s="61"/>
    </row>
    <row r="125">
      <c r="C125" s="61"/>
      <c r="H125" s="61"/>
      <c r="I125" s="61"/>
      <c r="J125" s="61"/>
      <c r="K125" s="61"/>
    </row>
    <row r="126">
      <c r="C126" s="61"/>
      <c r="H126" s="61"/>
      <c r="I126" s="61"/>
      <c r="J126" s="61"/>
      <c r="K126" s="61"/>
    </row>
    <row r="127">
      <c r="C127" s="61"/>
      <c r="H127" s="61"/>
      <c r="I127" s="61"/>
      <c r="J127" s="61"/>
      <c r="K127" s="61"/>
    </row>
    <row r="128">
      <c r="C128" s="61"/>
      <c r="H128" s="61"/>
      <c r="I128" s="61"/>
      <c r="J128" s="61"/>
      <c r="K128" s="61"/>
    </row>
    <row r="129">
      <c r="C129" s="61"/>
      <c r="H129" s="61"/>
      <c r="I129" s="61"/>
      <c r="J129" s="61"/>
      <c r="K129" s="61"/>
    </row>
    <row r="130">
      <c r="C130" s="61"/>
      <c r="H130" s="61"/>
      <c r="I130" s="61"/>
      <c r="J130" s="61"/>
      <c r="K130" s="61"/>
    </row>
    <row r="131">
      <c r="C131" s="61"/>
      <c r="H131" s="61"/>
      <c r="I131" s="61"/>
      <c r="J131" s="61"/>
      <c r="K131" s="61"/>
    </row>
    <row r="132">
      <c r="C132" s="61"/>
      <c r="H132" s="61"/>
      <c r="I132" s="61"/>
      <c r="J132" s="61"/>
      <c r="K132" s="61"/>
    </row>
    <row r="133">
      <c r="C133" s="61"/>
      <c r="H133" s="61"/>
      <c r="I133" s="61"/>
      <c r="J133" s="61"/>
      <c r="K133" s="61"/>
    </row>
    <row r="134">
      <c r="C134" s="61"/>
      <c r="H134" s="61"/>
      <c r="I134" s="61"/>
      <c r="J134" s="61"/>
      <c r="K134" s="61"/>
    </row>
    <row r="135">
      <c r="C135" s="61"/>
      <c r="H135" s="61"/>
      <c r="I135" s="61"/>
      <c r="J135" s="61"/>
      <c r="K135" s="61"/>
    </row>
    <row r="136">
      <c r="C136" s="61"/>
      <c r="H136" s="61"/>
      <c r="I136" s="61"/>
      <c r="J136" s="61"/>
      <c r="K136" s="61"/>
    </row>
    <row r="137">
      <c r="C137" s="61"/>
      <c r="H137" s="61"/>
      <c r="I137" s="61"/>
      <c r="J137" s="61"/>
      <c r="K137" s="61"/>
    </row>
    <row r="138">
      <c r="C138" s="61"/>
      <c r="H138" s="61"/>
      <c r="I138" s="61"/>
      <c r="J138" s="61"/>
      <c r="K138" s="61"/>
    </row>
    <row r="139">
      <c r="C139" s="61"/>
      <c r="H139" s="61"/>
      <c r="I139" s="61"/>
      <c r="J139" s="61"/>
      <c r="K139" s="61"/>
    </row>
    <row r="140">
      <c r="C140" s="61"/>
      <c r="H140" s="61"/>
      <c r="I140" s="61"/>
      <c r="J140" s="61"/>
      <c r="K140" s="61"/>
    </row>
    <row r="141">
      <c r="C141" s="61"/>
      <c r="H141" s="61"/>
      <c r="I141" s="61"/>
      <c r="J141" s="61"/>
      <c r="K141" s="61"/>
    </row>
    <row r="142">
      <c r="C142" s="61"/>
      <c r="H142" s="61"/>
      <c r="I142" s="61"/>
      <c r="J142" s="61"/>
      <c r="K142" s="61"/>
    </row>
    <row r="143">
      <c r="C143" s="61"/>
      <c r="H143" s="61"/>
      <c r="I143" s="61"/>
      <c r="J143" s="61"/>
      <c r="K143" s="61"/>
    </row>
    <row r="144">
      <c r="C144" s="61"/>
      <c r="H144" s="61"/>
      <c r="I144" s="61"/>
      <c r="J144" s="61"/>
      <c r="K144" s="61"/>
    </row>
    <row r="145">
      <c r="C145" s="61"/>
      <c r="H145" s="61"/>
      <c r="I145" s="61"/>
      <c r="J145" s="61"/>
      <c r="K145" s="61"/>
    </row>
    <row r="146">
      <c r="C146" s="61"/>
      <c r="H146" s="61"/>
      <c r="I146" s="61"/>
      <c r="J146" s="61"/>
      <c r="K146" s="61"/>
    </row>
    <row r="147">
      <c r="C147" s="61"/>
      <c r="H147" s="61"/>
      <c r="I147" s="61"/>
      <c r="J147" s="61"/>
      <c r="K147" s="61"/>
    </row>
    <row r="148">
      <c r="C148" s="61"/>
      <c r="H148" s="61"/>
      <c r="I148" s="61"/>
      <c r="J148" s="61"/>
      <c r="K148" s="61"/>
    </row>
    <row r="149">
      <c r="C149" s="61"/>
      <c r="H149" s="61"/>
      <c r="I149" s="61"/>
      <c r="J149" s="61"/>
      <c r="K149" s="61"/>
    </row>
    <row r="150">
      <c r="C150" s="61"/>
      <c r="H150" s="61"/>
      <c r="I150" s="61"/>
      <c r="J150" s="61"/>
      <c r="K150" s="61"/>
    </row>
    <row r="151">
      <c r="C151" s="61"/>
      <c r="H151" s="61"/>
      <c r="I151" s="61"/>
      <c r="J151" s="61"/>
      <c r="K151" s="61"/>
    </row>
    <row r="152">
      <c r="C152" s="61"/>
      <c r="H152" s="61"/>
      <c r="I152" s="61"/>
      <c r="J152" s="61"/>
      <c r="K152" s="61"/>
    </row>
    <row r="153">
      <c r="C153" s="61"/>
      <c r="H153" s="61"/>
      <c r="I153" s="61"/>
      <c r="J153" s="61"/>
      <c r="K153" s="61"/>
    </row>
    <row r="154">
      <c r="C154" s="61"/>
      <c r="H154" s="61"/>
      <c r="I154" s="61"/>
      <c r="J154" s="61"/>
      <c r="K154" s="61"/>
    </row>
    <row r="155">
      <c r="C155" s="61"/>
      <c r="H155" s="61"/>
      <c r="I155" s="61"/>
      <c r="J155" s="61"/>
      <c r="K155" s="61"/>
    </row>
    <row r="156">
      <c r="C156" s="61"/>
      <c r="H156" s="61"/>
      <c r="I156" s="61"/>
      <c r="J156" s="61"/>
      <c r="K156" s="61"/>
    </row>
    <row r="157">
      <c r="C157" s="61"/>
      <c r="H157" s="61"/>
      <c r="I157" s="61"/>
      <c r="J157" s="61"/>
      <c r="K157" s="61"/>
    </row>
    <row r="158">
      <c r="C158" s="61"/>
      <c r="H158" s="61"/>
      <c r="I158" s="61"/>
      <c r="J158" s="61"/>
      <c r="K158" s="61"/>
    </row>
    <row r="159">
      <c r="C159" s="61"/>
      <c r="H159" s="61"/>
      <c r="I159" s="61"/>
      <c r="J159" s="61"/>
      <c r="K159" s="61"/>
    </row>
    <row r="160">
      <c r="C160" s="61"/>
      <c r="H160" s="61"/>
      <c r="I160" s="61"/>
      <c r="J160" s="61"/>
      <c r="K160" s="61"/>
    </row>
    <row r="161">
      <c r="C161" s="61"/>
      <c r="H161" s="61"/>
      <c r="I161" s="61"/>
      <c r="J161" s="61"/>
      <c r="K161" s="61"/>
    </row>
    <row r="162">
      <c r="C162" s="61"/>
      <c r="H162" s="61"/>
      <c r="I162" s="61"/>
      <c r="J162" s="61"/>
      <c r="K162" s="61"/>
    </row>
    <row r="163">
      <c r="C163" s="61"/>
      <c r="H163" s="61"/>
      <c r="I163" s="61"/>
      <c r="J163" s="61"/>
      <c r="K163" s="61"/>
    </row>
    <row r="164">
      <c r="C164" s="61"/>
      <c r="H164" s="61"/>
      <c r="I164" s="61"/>
      <c r="J164" s="61"/>
      <c r="K164" s="61"/>
    </row>
    <row r="165">
      <c r="C165" s="61"/>
      <c r="H165" s="61"/>
      <c r="I165" s="61"/>
      <c r="J165" s="61"/>
      <c r="K165" s="61"/>
    </row>
    <row r="166">
      <c r="C166" s="61"/>
      <c r="H166" s="61"/>
      <c r="I166" s="61"/>
      <c r="J166" s="61"/>
      <c r="K166" s="61"/>
    </row>
    <row r="167">
      <c r="C167" s="61"/>
      <c r="H167" s="61"/>
      <c r="I167" s="61"/>
      <c r="J167" s="61"/>
      <c r="K167" s="61"/>
    </row>
    <row r="168">
      <c r="C168" s="61"/>
      <c r="H168" s="61"/>
      <c r="I168" s="61"/>
      <c r="J168" s="61"/>
      <c r="K168" s="61"/>
    </row>
    <row r="169">
      <c r="C169" s="61"/>
      <c r="H169" s="61"/>
      <c r="I169" s="61"/>
      <c r="J169" s="61"/>
      <c r="K169" s="61"/>
    </row>
    <row r="170">
      <c r="C170" s="61"/>
      <c r="H170" s="61"/>
      <c r="I170" s="61"/>
      <c r="J170" s="61"/>
      <c r="K170" s="61"/>
    </row>
    <row r="171">
      <c r="C171" s="61"/>
      <c r="H171" s="61"/>
      <c r="I171" s="61"/>
      <c r="J171" s="61"/>
      <c r="K171" s="61"/>
    </row>
    <row r="172">
      <c r="C172" s="61"/>
      <c r="H172" s="61"/>
      <c r="I172" s="61"/>
      <c r="J172" s="61"/>
      <c r="K172" s="61"/>
    </row>
    <row r="173">
      <c r="C173" s="61"/>
      <c r="H173" s="61"/>
      <c r="I173" s="61"/>
      <c r="J173" s="61"/>
      <c r="K173" s="61"/>
    </row>
    <row r="174">
      <c r="C174" s="61"/>
      <c r="H174" s="61"/>
      <c r="I174" s="61"/>
      <c r="J174" s="61"/>
      <c r="K174" s="61"/>
    </row>
    <row r="175">
      <c r="C175" s="61"/>
      <c r="H175" s="61"/>
      <c r="I175" s="61"/>
      <c r="J175" s="61"/>
      <c r="K175" s="61"/>
    </row>
    <row r="176">
      <c r="C176" s="61"/>
      <c r="H176" s="61"/>
      <c r="I176" s="61"/>
      <c r="J176" s="61"/>
      <c r="K176" s="61"/>
    </row>
    <row r="177">
      <c r="C177" s="61"/>
      <c r="H177" s="61"/>
      <c r="I177" s="61"/>
      <c r="J177" s="61"/>
      <c r="K177" s="61"/>
    </row>
    <row r="178">
      <c r="C178" s="61"/>
      <c r="H178" s="61"/>
      <c r="I178" s="61"/>
      <c r="J178" s="61"/>
      <c r="K178" s="61"/>
    </row>
    <row r="179">
      <c r="C179" s="61"/>
      <c r="H179" s="61"/>
      <c r="I179" s="61"/>
      <c r="J179" s="61"/>
      <c r="K179" s="61"/>
    </row>
    <row r="180">
      <c r="C180" s="61"/>
      <c r="H180" s="61"/>
      <c r="I180" s="61"/>
      <c r="J180" s="61"/>
      <c r="K180" s="61"/>
    </row>
    <row r="181">
      <c r="C181" s="61"/>
      <c r="H181" s="61"/>
      <c r="I181" s="61"/>
      <c r="J181" s="61"/>
      <c r="K181" s="61"/>
    </row>
    <row r="182">
      <c r="C182" s="61"/>
      <c r="H182" s="61"/>
      <c r="I182" s="61"/>
      <c r="J182" s="61"/>
      <c r="K182" s="61"/>
    </row>
    <row r="183">
      <c r="C183" s="61"/>
      <c r="H183" s="61"/>
      <c r="I183" s="61"/>
      <c r="J183" s="61"/>
      <c r="K183" s="61"/>
    </row>
    <row r="184">
      <c r="C184" s="61"/>
      <c r="H184" s="61"/>
      <c r="I184" s="61"/>
      <c r="J184" s="61"/>
      <c r="K184" s="61"/>
    </row>
    <row r="185">
      <c r="C185" s="61"/>
      <c r="H185" s="61"/>
      <c r="I185" s="61"/>
      <c r="J185" s="61"/>
      <c r="K185" s="61"/>
    </row>
    <row r="186">
      <c r="C186" s="61"/>
      <c r="H186" s="61"/>
      <c r="I186" s="61"/>
      <c r="J186" s="61"/>
      <c r="K186" s="61"/>
    </row>
    <row r="187">
      <c r="C187" s="61"/>
      <c r="H187" s="61"/>
      <c r="I187" s="61"/>
      <c r="J187" s="61"/>
      <c r="K187" s="61"/>
    </row>
    <row r="188">
      <c r="C188" s="61"/>
      <c r="H188" s="61"/>
      <c r="I188" s="61"/>
      <c r="J188" s="61"/>
      <c r="K188" s="61"/>
    </row>
    <row r="189">
      <c r="C189" s="61"/>
      <c r="H189" s="61"/>
      <c r="I189" s="61"/>
      <c r="J189" s="61"/>
      <c r="K189" s="61"/>
    </row>
    <row r="190">
      <c r="C190" s="61"/>
      <c r="H190" s="61"/>
      <c r="I190" s="61"/>
      <c r="J190" s="61"/>
      <c r="K190" s="61"/>
    </row>
    <row r="191">
      <c r="C191" s="61"/>
      <c r="H191" s="61"/>
      <c r="I191" s="61"/>
      <c r="J191" s="61"/>
      <c r="K191" s="61"/>
    </row>
    <row r="192">
      <c r="C192" s="61"/>
      <c r="H192" s="61"/>
      <c r="I192" s="61"/>
      <c r="J192" s="61"/>
      <c r="K192" s="61"/>
    </row>
    <row r="193">
      <c r="C193" s="61"/>
      <c r="H193" s="61"/>
      <c r="I193" s="61"/>
      <c r="J193" s="61"/>
      <c r="K193" s="61"/>
    </row>
    <row r="194">
      <c r="C194" s="61"/>
      <c r="H194" s="61"/>
      <c r="I194" s="61"/>
      <c r="J194" s="61"/>
      <c r="K194" s="61"/>
    </row>
    <row r="195">
      <c r="C195" s="61"/>
      <c r="H195" s="61"/>
      <c r="I195" s="61"/>
      <c r="J195" s="61"/>
      <c r="K195" s="61"/>
    </row>
    <row r="196">
      <c r="C196" s="61"/>
      <c r="H196" s="61"/>
      <c r="I196" s="61"/>
      <c r="J196" s="61"/>
      <c r="K196" s="61"/>
    </row>
    <row r="197">
      <c r="C197" s="61"/>
      <c r="H197" s="61"/>
      <c r="I197" s="61"/>
      <c r="J197" s="61"/>
      <c r="K197" s="61"/>
    </row>
    <row r="198">
      <c r="C198" s="61"/>
      <c r="H198" s="61"/>
      <c r="I198" s="61"/>
      <c r="J198" s="61"/>
      <c r="K198" s="61"/>
    </row>
    <row r="199">
      <c r="C199" s="61"/>
      <c r="H199" s="61"/>
      <c r="I199" s="61"/>
      <c r="J199" s="61"/>
      <c r="K199" s="61"/>
    </row>
    <row r="200">
      <c r="C200" s="61"/>
      <c r="H200" s="61"/>
      <c r="I200" s="61"/>
      <c r="J200" s="61"/>
      <c r="K200" s="61"/>
    </row>
    <row r="201">
      <c r="C201" s="61"/>
      <c r="H201" s="61"/>
      <c r="I201" s="61"/>
      <c r="J201" s="61"/>
      <c r="K201" s="61"/>
    </row>
    <row r="202">
      <c r="C202" s="61"/>
      <c r="H202" s="61"/>
      <c r="I202" s="61"/>
      <c r="J202" s="61"/>
      <c r="K202" s="61"/>
    </row>
    <row r="203">
      <c r="C203" s="61"/>
      <c r="H203" s="61"/>
      <c r="I203" s="61"/>
      <c r="J203" s="61"/>
      <c r="K203" s="61"/>
    </row>
    <row r="204">
      <c r="C204" s="61"/>
      <c r="H204" s="61"/>
      <c r="I204" s="61"/>
      <c r="J204" s="61"/>
      <c r="K204" s="61"/>
    </row>
    <row r="205">
      <c r="C205" s="61"/>
      <c r="H205" s="61"/>
      <c r="I205" s="61"/>
      <c r="J205" s="61"/>
      <c r="K205" s="61"/>
    </row>
    <row r="206">
      <c r="C206" s="61"/>
      <c r="H206" s="61"/>
      <c r="I206" s="61"/>
      <c r="J206" s="61"/>
      <c r="K206" s="61"/>
    </row>
    <row r="207">
      <c r="C207" s="61"/>
      <c r="H207" s="61"/>
      <c r="I207" s="61"/>
      <c r="J207" s="61"/>
      <c r="K207" s="61"/>
    </row>
    <row r="208">
      <c r="C208" s="61"/>
      <c r="H208" s="61"/>
      <c r="I208" s="61"/>
      <c r="J208" s="61"/>
      <c r="K208" s="61"/>
    </row>
    <row r="209">
      <c r="C209" s="61"/>
      <c r="H209" s="61"/>
      <c r="I209" s="61"/>
      <c r="J209" s="61"/>
      <c r="K209" s="61"/>
    </row>
    <row r="210">
      <c r="C210" s="61"/>
      <c r="H210" s="61"/>
      <c r="I210" s="61"/>
      <c r="J210" s="61"/>
      <c r="K210" s="61"/>
    </row>
    <row r="211">
      <c r="C211" s="61"/>
      <c r="H211" s="61"/>
      <c r="I211" s="61"/>
      <c r="J211" s="61"/>
      <c r="K211" s="61"/>
    </row>
    <row r="212">
      <c r="C212" s="61"/>
      <c r="H212" s="61"/>
      <c r="I212" s="61"/>
      <c r="J212" s="61"/>
      <c r="K212" s="61"/>
    </row>
    <row r="213">
      <c r="C213" s="61"/>
      <c r="H213" s="61"/>
      <c r="I213" s="61"/>
      <c r="J213" s="61"/>
      <c r="K213" s="61"/>
    </row>
    <row r="214">
      <c r="C214" s="61"/>
      <c r="H214" s="61"/>
      <c r="I214" s="61"/>
      <c r="J214" s="61"/>
      <c r="K214" s="61"/>
    </row>
    <row r="215">
      <c r="C215" s="61"/>
      <c r="H215" s="61"/>
      <c r="I215" s="61"/>
      <c r="J215" s="61"/>
      <c r="K215" s="61"/>
    </row>
    <row r="216">
      <c r="C216" s="61"/>
      <c r="H216" s="61"/>
      <c r="I216" s="61"/>
      <c r="J216" s="61"/>
      <c r="K216" s="61"/>
    </row>
    <row r="217">
      <c r="C217" s="61"/>
      <c r="H217" s="61"/>
      <c r="I217" s="61"/>
      <c r="J217" s="61"/>
      <c r="K217" s="61"/>
    </row>
    <row r="218">
      <c r="C218" s="61"/>
      <c r="H218" s="61"/>
      <c r="I218" s="61"/>
      <c r="J218" s="61"/>
      <c r="K218" s="61"/>
    </row>
    <row r="219">
      <c r="C219" s="61"/>
      <c r="H219" s="61"/>
      <c r="I219" s="61"/>
      <c r="J219" s="61"/>
      <c r="K219" s="61"/>
    </row>
    <row r="220">
      <c r="C220" s="61"/>
      <c r="H220" s="61"/>
      <c r="I220" s="61"/>
      <c r="J220" s="61"/>
      <c r="K220" s="61"/>
    </row>
    <row r="221">
      <c r="C221" s="61"/>
      <c r="H221" s="61"/>
      <c r="I221" s="61"/>
      <c r="J221" s="61"/>
      <c r="K221" s="61"/>
    </row>
    <row r="222">
      <c r="C222" s="61"/>
      <c r="H222" s="61"/>
      <c r="I222" s="61"/>
      <c r="J222" s="61"/>
      <c r="K222" s="61"/>
    </row>
    <row r="223">
      <c r="C223" s="61"/>
      <c r="H223" s="61"/>
      <c r="I223" s="61"/>
      <c r="J223" s="61"/>
      <c r="K223" s="61"/>
    </row>
    <row r="224">
      <c r="C224" s="61"/>
      <c r="H224" s="61"/>
      <c r="I224" s="61"/>
      <c r="J224" s="61"/>
      <c r="K224" s="61"/>
    </row>
    <row r="225">
      <c r="C225" s="61"/>
      <c r="H225" s="61"/>
      <c r="I225" s="61"/>
      <c r="J225" s="61"/>
      <c r="K225" s="61"/>
    </row>
    <row r="226">
      <c r="C226" s="61"/>
      <c r="H226" s="61"/>
      <c r="I226" s="61"/>
      <c r="J226" s="61"/>
      <c r="K226" s="61"/>
    </row>
    <row r="227">
      <c r="C227" s="61"/>
      <c r="H227" s="61"/>
      <c r="I227" s="61"/>
      <c r="J227" s="61"/>
      <c r="K227" s="61"/>
    </row>
    <row r="228">
      <c r="C228" s="61"/>
      <c r="H228" s="61"/>
      <c r="I228" s="61"/>
      <c r="J228" s="61"/>
      <c r="K228" s="61"/>
    </row>
    <row r="229">
      <c r="C229" s="61"/>
      <c r="H229" s="61"/>
      <c r="I229" s="61"/>
      <c r="J229" s="61"/>
      <c r="K229" s="61"/>
    </row>
    <row r="230">
      <c r="C230" s="61"/>
      <c r="H230" s="61"/>
      <c r="I230" s="61"/>
      <c r="J230" s="61"/>
      <c r="K230" s="61"/>
    </row>
    <row r="231">
      <c r="C231" s="61"/>
      <c r="H231" s="61"/>
      <c r="I231" s="61"/>
      <c r="J231" s="61"/>
      <c r="K231" s="61"/>
    </row>
    <row r="232">
      <c r="C232" s="61"/>
      <c r="H232" s="61"/>
      <c r="I232" s="61"/>
      <c r="J232" s="61"/>
      <c r="K232" s="61"/>
    </row>
    <row r="233">
      <c r="C233" s="61"/>
      <c r="H233" s="61"/>
      <c r="I233" s="61"/>
      <c r="J233" s="61"/>
      <c r="K233" s="61"/>
    </row>
    <row r="234">
      <c r="C234" s="61"/>
      <c r="H234" s="61"/>
      <c r="I234" s="61"/>
      <c r="J234" s="61"/>
      <c r="K234" s="61"/>
    </row>
    <row r="235">
      <c r="C235" s="61"/>
      <c r="H235" s="61"/>
      <c r="I235" s="61"/>
      <c r="J235" s="61"/>
      <c r="K235" s="61"/>
    </row>
    <row r="236">
      <c r="C236" s="61"/>
      <c r="H236" s="61"/>
      <c r="I236" s="61"/>
      <c r="J236" s="61"/>
      <c r="K236" s="61"/>
    </row>
    <row r="237">
      <c r="C237" s="61"/>
      <c r="H237" s="61"/>
      <c r="I237" s="61"/>
      <c r="J237" s="61"/>
      <c r="K237" s="61"/>
    </row>
    <row r="238">
      <c r="C238" s="61"/>
      <c r="H238" s="61"/>
      <c r="I238" s="61"/>
      <c r="J238" s="61"/>
      <c r="K238" s="61"/>
    </row>
    <row r="239">
      <c r="C239" s="61"/>
      <c r="H239" s="61"/>
      <c r="I239" s="61"/>
      <c r="J239" s="61"/>
      <c r="K239" s="61"/>
    </row>
    <row r="240">
      <c r="C240" s="61"/>
      <c r="H240" s="61"/>
      <c r="I240" s="61"/>
      <c r="J240" s="61"/>
      <c r="K240" s="61"/>
    </row>
    <row r="241">
      <c r="C241" s="61"/>
      <c r="H241" s="61"/>
      <c r="I241" s="61"/>
      <c r="J241" s="61"/>
      <c r="K241" s="61"/>
    </row>
    <row r="242">
      <c r="C242" s="61"/>
      <c r="H242" s="61"/>
      <c r="I242" s="61"/>
      <c r="J242" s="61"/>
      <c r="K242" s="61"/>
    </row>
    <row r="243">
      <c r="C243" s="61"/>
      <c r="H243" s="61"/>
      <c r="I243" s="61"/>
      <c r="J243" s="61"/>
      <c r="K243" s="61"/>
    </row>
    <row r="244">
      <c r="C244" s="61"/>
      <c r="H244" s="61"/>
      <c r="I244" s="61"/>
      <c r="J244" s="61"/>
      <c r="K244" s="61"/>
    </row>
    <row r="245">
      <c r="C245" s="61"/>
      <c r="H245" s="61"/>
      <c r="I245" s="61"/>
      <c r="J245" s="61"/>
      <c r="K245" s="61"/>
    </row>
    <row r="246">
      <c r="C246" s="61"/>
      <c r="H246" s="61"/>
      <c r="I246" s="61"/>
      <c r="J246" s="61"/>
      <c r="K246" s="61"/>
    </row>
    <row r="247">
      <c r="C247" s="61"/>
      <c r="H247" s="61"/>
      <c r="I247" s="61"/>
      <c r="J247" s="61"/>
      <c r="K247" s="61"/>
    </row>
    <row r="248">
      <c r="C248" s="61"/>
      <c r="H248" s="61"/>
      <c r="I248" s="61"/>
      <c r="J248" s="61"/>
      <c r="K248" s="61"/>
    </row>
    <row r="249">
      <c r="C249" s="61"/>
      <c r="H249" s="61"/>
      <c r="I249" s="61"/>
      <c r="J249" s="61"/>
      <c r="K249" s="61"/>
    </row>
    <row r="250">
      <c r="C250" s="61"/>
      <c r="H250" s="61"/>
      <c r="I250" s="61"/>
      <c r="J250" s="61"/>
      <c r="K250" s="61"/>
    </row>
    <row r="251">
      <c r="C251" s="61"/>
      <c r="H251" s="61"/>
      <c r="I251" s="61"/>
      <c r="J251" s="61"/>
      <c r="K251" s="61"/>
    </row>
    <row r="252">
      <c r="C252" s="61"/>
      <c r="H252" s="61"/>
      <c r="I252" s="61"/>
      <c r="J252" s="61"/>
      <c r="K252" s="61"/>
    </row>
    <row r="253">
      <c r="C253" s="61"/>
      <c r="H253" s="61"/>
      <c r="I253" s="61"/>
      <c r="J253" s="61"/>
      <c r="K253" s="61"/>
    </row>
    <row r="254">
      <c r="C254" s="61"/>
      <c r="H254" s="61"/>
      <c r="I254" s="61"/>
      <c r="J254" s="61"/>
      <c r="K254" s="61"/>
    </row>
    <row r="255">
      <c r="C255" s="61"/>
      <c r="H255" s="61"/>
      <c r="I255" s="61"/>
      <c r="J255" s="61"/>
      <c r="K255" s="61"/>
    </row>
    <row r="256">
      <c r="C256" s="61"/>
      <c r="H256" s="61"/>
      <c r="I256" s="61"/>
      <c r="J256" s="61"/>
      <c r="K256" s="61"/>
    </row>
    <row r="257">
      <c r="C257" s="61"/>
      <c r="H257" s="61"/>
      <c r="I257" s="61"/>
      <c r="J257" s="61"/>
      <c r="K257" s="61"/>
    </row>
    <row r="258">
      <c r="C258" s="61"/>
      <c r="H258" s="61"/>
      <c r="I258" s="61"/>
      <c r="J258" s="61"/>
      <c r="K258" s="61"/>
    </row>
    <row r="259">
      <c r="C259" s="61"/>
      <c r="H259" s="61"/>
      <c r="I259" s="61"/>
      <c r="J259" s="61"/>
      <c r="K259" s="61"/>
    </row>
    <row r="260">
      <c r="C260" s="61"/>
      <c r="H260" s="61"/>
      <c r="I260" s="61"/>
      <c r="J260" s="61"/>
      <c r="K260" s="61"/>
    </row>
    <row r="261">
      <c r="C261" s="61"/>
      <c r="H261" s="61"/>
      <c r="I261" s="61"/>
      <c r="J261" s="61"/>
      <c r="K261" s="61"/>
    </row>
    <row r="262">
      <c r="C262" s="61"/>
      <c r="H262" s="61"/>
      <c r="I262" s="61"/>
      <c r="J262" s="61"/>
      <c r="K262" s="61"/>
    </row>
    <row r="263">
      <c r="C263" s="61"/>
      <c r="H263" s="61"/>
      <c r="I263" s="61"/>
      <c r="J263" s="61"/>
      <c r="K263" s="61"/>
    </row>
    <row r="264">
      <c r="C264" s="61"/>
      <c r="H264" s="61"/>
      <c r="I264" s="61"/>
      <c r="J264" s="61"/>
      <c r="K264" s="61"/>
    </row>
    <row r="265">
      <c r="C265" s="61"/>
      <c r="H265" s="61"/>
      <c r="I265" s="61"/>
      <c r="J265" s="61"/>
      <c r="K265" s="61"/>
    </row>
    <row r="266">
      <c r="C266" s="61"/>
      <c r="H266" s="61"/>
      <c r="I266" s="61"/>
      <c r="J266" s="61"/>
      <c r="K266" s="61"/>
    </row>
    <row r="267">
      <c r="C267" s="61"/>
      <c r="H267" s="61"/>
      <c r="I267" s="61"/>
      <c r="J267" s="61"/>
      <c r="K267" s="61"/>
    </row>
    <row r="268">
      <c r="C268" s="61"/>
      <c r="H268" s="61"/>
      <c r="I268" s="61"/>
      <c r="J268" s="61"/>
      <c r="K268" s="61"/>
    </row>
    <row r="269">
      <c r="C269" s="61"/>
      <c r="H269" s="61"/>
      <c r="I269" s="61"/>
      <c r="J269" s="61"/>
      <c r="K269" s="61"/>
    </row>
    <row r="270">
      <c r="C270" s="61"/>
      <c r="H270" s="61"/>
      <c r="I270" s="61"/>
      <c r="J270" s="61"/>
      <c r="K270" s="61"/>
    </row>
    <row r="271">
      <c r="C271" s="61"/>
      <c r="H271" s="61"/>
      <c r="I271" s="61"/>
      <c r="J271" s="61"/>
      <c r="K271" s="61"/>
    </row>
    <row r="272">
      <c r="C272" s="61"/>
      <c r="H272" s="61"/>
      <c r="I272" s="61"/>
      <c r="J272" s="61"/>
      <c r="K272" s="61"/>
    </row>
    <row r="273">
      <c r="C273" s="61"/>
      <c r="H273" s="61"/>
      <c r="I273" s="61"/>
      <c r="J273" s="61"/>
      <c r="K273" s="61"/>
    </row>
    <row r="274">
      <c r="C274" s="61"/>
      <c r="H274" s="61"/>
      <c r="I274" s="61"/>
      <c r="J274" s="61"/>
      <c r="K274" s="61"/>
    </row>
    <row r="275">
      <c r="C275" s="61"/>
      <c r="H275" s="61"/>
      <c r="I275" s="61"/>
      <c r="J275" s="61"/>
      <c r="K275" s="61"/>
    </row>
    <row r="276">
      <c r="C276" s="61"/>
      <c r="H276" s="61"/>
      <c r="I276" s="61"/>
      <c r="J276" s="61"/>
      <c r="K276" s="61"/>
    </row>
    <row r="277">
      <c r="C277" s="61"/>
      <c r="H277" s="61"/>
      <c r="I277" s="61"/>
      <c r="J277" s="61"/>
      <c r="K277" s="61"/>
    </row>
    <row r="278">
      <c r="C278" s="61"/>
      <c r="H278" s="61"/>
      <c r="I278" s="61"/>
      <c r="J278" s="61"/>
      <c r="K278" s="61"/>
    </row>
    <row r="279">
      <c r="C279" s="61"/>
      <c r="H279" s="61"/>
      <c r="I279" s="61"/>
      <c r="J279" s="61"/>
      <c r="K279" s="61"/>
    </row>
    <row r="280">
      <c r="C280" s="61"/>
      <c r="H280" s="61"/>
      <c r="I280" s="61"/>
      <c r="J280" s="61"/>
      <c r="K280" s="61"/>
    </row>
    <row r="281">
      <c r="C281" s="61"/>
      <c r="H281" s="61"/>
      <c r="I281" s="61"/>
      <c r="J281" s="61"/>
      <c r="K281" s="61"/>
    </row>
    <row r="282">
      <c r="C282" s="61"/>
      <c r="H282" s="61"/>
      <c r="I282" s="61"/>
      <c r="J282" s="61"/>
      <c r="K282" s="61"/>
    </row>
    <row r="283">
      <c r="C283" s="61"/>
      <c r="H283" s="61"/>
      <c r="I283" s="61"/>
      <c r="J283" s="61"/>
      <c r="K283" s="61"/>
    </row>
    <row r="284">
      <c r="C284" s="61"/>
      <c r="H284" s="61"/>
      <c r="I284" s="61"/>
      <c r="J284" s="61"/>
      <c r="K284" s="61"/>
    </row>
    <row r="285">
      <c r="C285" s="61"/>
      <c r="H285" s="61"/>
      <c r="I285" s="61"/>
      <c r="J285" s="61"/>
      <c r="K285" s="61"/>
    </row>
    <row r="286">
      <c r="C286" s="61"/>
      <c r="H286" s="61"/>
      <c r="I286" s="61"/>
      <c r="J286" s="61"/>
      <c r="K286" s="61"/>
    </row>
    <row r="287">
      <c r="C287" s="61"/>
      <c r="H287" s="61"/>
      <c r="I287" s="61"/>
      <c r="J287" s="61"/>
      <c r="K287" s="61"/>
    </row>
    <row r="288">
      <c r="C288" s="61"/>
      <c r="H288" s="61"/>
      <c r="I288" s="61"/>
      <c r="J288" s="61"/>
      <c r="K288" s="61"/>
    </row>
    <row r="289">
      <c r="C289" s="61"/>
      <c r="H289" s="61"/>
      <c r="I289" s="61"/>
      <c r="J289" s="61"/>
      <c r="K289" s="61"/>
    </row>
    <row r="290">
      <c r="C290" s="61"/>
      <c r="H290" s="61"/>
      <c r="I290" s="61"/>
      <c r="J290" s="61"/>
      <c r="K290" s="61"/>
    </row>
    <row r="291">
      <c r="C291" s="61"/>
      <c r="H291" s="61"/>
      <c r="I291" s="61"/>
      <c r="J291" s="61"/>
      <c r="K291" s="61"/>
    </row>
    <row r="292">
      <c r="C292" s="61"/>
      <c r="H292" s="61"/>
      <c r="I292" s="61"/>
      <c r="J292" s="61"/>
      <c r="K292" s="61"/>
    </row>
    <row r="293">
      <c r="C293" s="61"/>
      <c r="H293" s="61"/>
      <c r="I293" s="61"/>
      <c r="J293" s="61"/>
      <c r="K293" s="61"/>
    </row>
    <row r="294">
      <c r="C294" s="61"/>
      <c r="H294" s="61"/>
      <c r="I294" s="61"/>
      <c r="J294" s="61"/>
      <c r="K294" s="61"/>
    </row>
    <row r="295">
      <c r="C295" s="61"/>
      <c r="H295" s="61"/>
      <c r="I295" s="61"/>
      <c r="J295" s="61"/>
      <c r="K295" s="61"/>
    </row>
    <row r="296">
      <c r="C296" s="61"/>
      <c r="H296" s="61"/>
      <c r="I296" s="61"/>
      <c r="J296" s="61"/>
      <c r="K296" s="61"/>
    </row>
    <row r="297">
      <c r="C297" s="61"/>
      <c r="H297" s="61"/>
      <c r="I297" s="61"/>
      <c r="J297" s="61"/>
      <c r="K297" s="61"/>
    </row>
    <row r="298">
      <c r="C298" s="61"/>
      <c r="H298" s="61"/>
      <c r="I298" s="61"/>
      <c r="J298" s="61"/>
      <c r="K298" s="61"/>
    </row>
    <row r="299">
      <c r="C299" s="61"/>
      <c r="H299" s="61"/>
      <c r="I299" s="61"/>
      <c r="J299" s="61"/>
      <c r="K299" s="61"/>
    </row>
    <row r="300">
      <c r="C300" s="61"/>
      <c r="H300" s="61"/>
      <c r="I300" s="61"/>
      <c r="J300" s="61"/>
      <c r="K300" s="61"/>
    </row>
    <row r="301">
      <c r="C301" s="61"/>
      <c r="H301" s="61"/>
      <c r="I301" s="61"/>
      <c r="J301" s="61"/>
      <c r="K301" s="61"/>
    </row>
    <row r="302">
      <c r="C302" s="61"/>
      <c r="H302" s="61"/>
      <c r="I302" s="61"/>
      <c r="J302" s="61"/>
      <c r="K302" s="61"/>
    </row>
    <row r="303">
      <c r="C303" s="61"/>
      <c r="H303" s="61"/>
      <c r="I303" s="61"/>
      <c r="J303" s="61"/>
      <c r="K303" s="61"/>
    </row>
    <row r="304">
      <c r="C304" s="61"/>
      <c r="H304" s="61"/>
      <c r="I304" s="61"/>
      <c r="J304" s="61"/>
      <c r="K304" s="61"/>
    </row>
    <row r="305">
      <c r="C305" s="61"/>
      <c r="H305" s="61"/>
      <c r="I305" s="61"/>
      <c r="J305" s="61"/>
      <c r="K305" s="61"/>
    </row>
    <row r="306">
      <c r="C306" s="61"/>
      <c r="H306" s="61"/>
      <c r="I306" s="61"/>
      <c r="J306" s="61"/>
      <c r="K306" s="61"/>
    </row>
    <row r="307">
      <c r="C307" s="61"/>
      <c r="H307" s="61"/>
      <c r="I307" s="61"/>
      <c r="J307" s="61"/>
      <c r="K307" s="61"/>
    </row>
    <row r="308">
      <c r="C308" s="61"/>
      <c r="H308" s="61"/>
      <c r="I308" s="61"/>
      <c r="J308" s="61"/>
      <c r="K308" s="61"/>
    </row>
    <row r="309">
      <c r="C309" s="61"/>
      <c r="H309" s="61"/>
      <c r="I309" s="61"/>
      <c r="J309" s="61"/>
      <c r="K309" s="61"/>
    </row>
    <row r="310">
      <c r="C310" s="61"/>
      <c r="H310" s="61"/>
      <c r="I310" s="61"/>
      <c r="J310" s="61"/>
      <c r="K310" s="61"/>
    </row>
    <row r="311">
      <c r="C311" s="61"/>
      <c r="H311" s="61"/>
      <c r="I311" s="61"/>
      <c r="J311" s="61"/>
      <c r="K311" s="61"/>
    </row>
    <row r="312">
      <c r="C312" s="61"/>
      <c r="H312" s="61"/>
      <c r="I312" s="61"/>
      <c r="J312" s="61"/>
      <c r="K312" s="61"/>
    </row>
    <row r="313">
      <c r="C313" s="61"/>
      <c r="H313" s="61"/>
      <c r="I313" s="61"/>
      <c r="J313" s="61"/>
      <c r="K313" s="61"/>
    </row>
    <row r="314">
      <c r="C314" s="61"/>
      <c r="H314" s="61"/>
      <c r="I314" s="61"/>
      <c r="J314" s="61"/>
      <c r="K314" s="61"/>
    </row>
    <row r="315">
      <c r="C315" s="61"/>
      <c r="H315" s="61"/>
      <c r="I315" s="61"/>
      <c r="J315" s="61"/>
      <c r="K315" s="61"/>
    </row>
    <row r="316">
      <c r="C316" s="61"/>
      <c r="H316" s="61"/>
      <c r="I316" s="61"/>
      <c r="J316" s="61"/>
      <c r="K316" s="61"/>
    </row>
    <row r="317">
      <c r="C317" s="61"/>
      <c r="H317" s="61"/>
      <c r="I317" s="61"/>
      <c r="J317" s="61"/>
      <c r="K317" s="61"/>
    </row>
    <row r="318">
      <c r="C318" s="61"/>
      <c r="H318" s="61"/>
      <c r="I318" s="61"/>
      <c r="J318" s="61"/>
      <c r="K318" s="61"/>
    </row>
    <row r="319">
      <c r="C319" s="61"/>
      <c r="H319" s="61"/>
      <c r="I319" s="61"/>
      <c r="J319" s="61"/>
      <c r="K319" s="61"/>
    </row>
    <row r="320">
      <c r="C320" s="61"/>
      <c r="H320" s="61"/>
      <c r="I320" s="61"/>
      <c r="J320" s="61"/>
      <c r="K320" s="61"/>
    </row>
    <row r="321">
      <c r="C321" s="61"/>
      <c r="H321" s="61"/>
      <c r="I321" s="61"/>
      <c r="J321" s="61"/>
      <c r="K321" s="61"/>
    </row>
    <row r="322">
      <c r="C322" s="61"/>
      <c r="H322" s="61"/>
      <c r="I322" s="61"/>
      <c r="J322" s="61"/>
      <c r="K322" s="61"/>
    </row>
    <row r="323">
      <c r="C323" s="61"/>
      <c r="H323" s="61"/>
      <c r="I323" s="61"/>
      <c r="J323" s="61"/>
      <c r="K323" s="61"/>
    </row>
    <row r="324">
      <c r="C324" s="61"/>
      <c r="H324" s="61"/>
      <c r="I324" s="61"/>
      <c r="J324" s="61"/>
      <c r="K324" s="61"/>
    </row>
    <row r="325">
      <c r="C325" s="61"/>
      <c r="H325" s="61"/>
      <c r="I325" s="61"/>
      <c r="J325" s="61"/>
      <c r="K325" s="61"/>
    </row>
    <row r="326">
      <c r="C326" s="61"/>
      <c r="H326" s="61"/>
      <c r="I326" s="61"/>
      <c r="J326" s="61"/>
      <c r="K326" s="61"/>
    </row>
    <row r="327">
      <c r="C327" s="61"/>
      <c r="H327" s="61"/>
      <c r="I327" s="61"/>
      <c r="J327" s="61"/>
      <c r="K327" s="61"/>
    </row>
    <row r="328">
      <c r="C328" s="61"/>
      <c r="H328" s="61"/>
      <c r="I328" s="61"/>
      <c r="J328" s="61"/>
      <c r="K328" s="61"/>
    </row>
    <row r="329">
      <c r="C329" s="61"/>
      <c r="H329" s="61"/>
      <c r="I329" s="61"/>
      <c r="J329" s="61"/>
      <c r="K329" s="61"/>
    </row>
    <row r="330">
      <c r="C330" s="61"/>
      <c r="H330" s="61"/>
      <c r="I330" s="61"/>
      <c r="J330" s="61"/>
      <c r="K330" s="61"/>
    </row>
    <row r="331">
      <c r="C331" s="61"/>
      <c r="H331" s="61"/>
      <c r="I331" s="61"/>
      <c r="J331" s="61"/>
      <c r="K331" s="61"/>
    </row>
    <row r="332">
      <c r="C332" s="61"/>
      <c r="H332" s="61"/>
      <c r="I332" s="61"/>
      <c r="J332" s="61"/>
      <c r="K332" s="61"/>
    </row>
    <row r="333">
      <c r="C333" s="61"/>
      <c r="H333" s="61"/>
      <c r="I333" s="61"/>
      <c r="J333" s="61"/>
      <c r="K333" s="61"/>
    </row>
    <row r="334">
      <c r="C334" s="61"/>
      <c r="H334" s="61"/>
      <c r="I334" s="61"/>
      <c r="J334" s="61"/>
      <c r="K334" s="61"/>
    </row>
    <row r="335">
      <c r="C335" s="61"/>
      <c r="H335" s="61"/>
      <c r="I335" s="61"/>
      <c r="J335" s="61"/>
      <c r="K335" s="61"/>
    </row>
    <row r="336">
      <c r="C336" s="61"/>
      <c r="H336" s="61"/>
      <c r="I336" s="61"/>
      <c r="J336" s="61"/>
      <c r="K336" s="61"/>
    </row>
    <row r="337">
      <c r="C337" s="61"/>
      <c r="H337" s="61"/>
      <c r="I337" s="61"/>
      <c r="J337" s="61"/>
      <c r="K337" s="61"/>
    </row>
    <row r="338">
      <c r="C338" s="61"/>
      <c r="H338" s="61"/>
      <c r="I338" s="61"/>
      <c r="J338" s="61"/>
      <c r="K338" s="61"/>
    </row>
    <row r="339">
      <c r="C339" s="61"/>
      <c r="H339" s="61"/>
      <c r="I339" s="61"/>
      <c r="J339" s="61"/>
      <c r="K339" s="61"/>
    </row>
    <row r="340">
      <c r="C340" s="61"/>
      <c r="H340" s="61"/>
      <c r="I340" s="61"/>
      <c r="J340" s="61"/>
      <c r="K340" s="61"/>
    </row>
    <row r="341">
      <c r="C341" s="61"/>
      <c r="H341" s="61"/>
      <c r="I341" s="61"/>
      <c r="J341" s="61"/>
      <c r="K341" s="61"/>
    </row>
    <row r="342">
      <c r="C342" s="61"/>
      <c r="H342" s="61"/>
      <c r="I342" s="61"/>
      <c r="J342" s="61"/>
      <c r="K342" s="61"/>
    </row>
    <row r="343">
      <c r="C343" s="61"/>
      <c r="H343" s="61"/>
      <c r="I343" s="61"/>
      <c r="J343" s="61"/>
      <c r="K343" s="61"/>
    </row>
    <row r="344">
      <c r="C344" s="61"/>
      <c r="H344" s="61"/>
      <c r="I344" s="61"/>
      <c r="J344" s="61"/>
      <c r="K344" s="61"/>
    </row>
    <row r="345">
      <c r="C345" s="61"/>
      <c r="H345" s="61"/>
      <c r="I345" s="61"/>
      <c r="J345" s="61"/>
      <c r="K345" s="61"/>
    </row>
    <row r="346">
      <c r="C346" s="61"/>
      <c r="H346" s="61"/>
      <c r="I346" s="61"/>
      <c r="J346" s="61"/>
      <c r="K346" s="61"/>
    </row>
    <row r="347">
      <c r="C347" s="61"/>
      <c r="H347" s="61"/>
      <c r="I347" s="61"/>
      <c r="J347" s="61"/>
      <c r="K347" s="61"/>
    </row>
    <row r="348">
      <c r="C348" s="61"/>
      <c r="H348" s="61"/>
      <c r="I348" s="61"/>
      <c r="J348" s="61"/>
      <c r="K348" s="61"/>
    </row>
    <row r="349">
      <c r="C349" s="61"/>
      <c r="H349" s="61"/>
      <c r="I349" s="61"/>
      <c r="J349" s="61"/>
      <c r="K349" s="61"/>
    </row>
    <row r="350">
      <c r="C350" s="61"/>
      <c r="H350" s="61"/>
      <c r="I350" s="61"/>
      <c r="J350" s="61"/>
      <c r="K350" s="61"/>
    </row>
    <row r="351">
      <c r="C351" s="61"/>
      <c r="H351" s="61"/>
      <c r="I351" s="61"/>
      <c r="J351" s="61"/>
      <c r="K351" s="61"/>
    </row>
    <row r="352">
      <c r="C352" s="61"/>
      <c r="H352" s="61"/>
      <c r="I352" s="61"/>
      <c r="J352" s="61"/>
      <c r="K352" s="61"/>
    </row>
    <row r="353">
      <c r="C353" s="61"/>
      <c r="H353" s="61"/>
      <c r="I353" s="61"/>
      <c r="J353" s="61"/>
      <c r="K353" s="61"/>
    </row>
    <row r="354">
      <c r="C354" s="61"/>
      <c r="H354" s="61"/>
      <c r="I354" s="61"/>
      <c r="J354" s="61"/>
      <c r="K354" s="61"/>
    </row>
    <row r="355">
      <c r="C355" s="61"/>
      <c r="H355" s="61"/>
      <c r="I355" s="61"/>
      <c r="J355" s="61"/>
      <c r="K355" s="61"/>
    </row>
    <row r="356">
      <c r="C356" s="61"/>
      <c r="H356" s="61"/>
      <c r="I356" s="61"/>
      <c r="J356" s="61"/>
      <c r="K356" s="61"/>
    </row>
    <row r="357">
      <c r="C357" s="61"/>
      <c r="H357" s="61"/>
      <c r="I357" s="61"/>
      <c r="J357" s="61"/>
      <c r="K357" s="61"/>
    </row>
    <row r="358">
      <c r="C358" s="61"/>
      <c r="H358" s="61"/>
      <c r="I358" s="61"/>
      <c r="J358" s="61"/>
      <c r="K358" s="61"/>
    </row>
    <row r="359">
      <c r="C359" s="61"/>
      <c r="H359" s="61"/>
      <c r="I359" s="61"/>
      <c r="J359" s="61"/>
      <c r="K359" s="61"/>
    </row>
    <row r="360">
      <c r="C360" s="61"/>
      <c r="H360" s="61"/>
      <c r="I360" s="61"/>
      <c r="J360" s="61"/>
      <c r="K360" s="61"/>
    </row>
    <row r="361">
      <c r="C361" s="61"/>
      <c r="H361" s="61"/>
      <c r="I361" s="61"/>
      <c r="J361" s="61"/>
      <c r="K361" s="61"/>
    </row>
    <row r="362">
      <c r="C362" s="61"/>
      <c r="H362" s="61"/>
      <c r="I362" s="61"/>
      <c r="J362" s="61"/>
      <c r="K362" s="61"/>
    </row>
    <row r="363">
      <c r="C363" s="61"/>
      <c r="H363" s="61"/>
      <c r="I363" s="61"/>
      <c r="J363" s="61"/>
      <c r="K363" s="61"/>
    </row>
    <row r="364">
      <c r="C364" s="61"/>
      <c r="H364" s="61"/>
      <c r="I364" s="61"/>
      <c r="J364" s="61"/>
      <c r="K364" s="61"/>
    </row>
    <row r="365">
      <c r="C365" s="61"/>
      <c r="H365" s="61"/>
      <c r="I365" s="61"/>
      <c r="J365" s="61"/>
      <c r="K365" s="61"/>
    </row>
    <row r="366">
      <c r="C366" s="61"/>
      <c r="H366" s="61"/>
      <c r="I366" s="61"/>
      <c r="J366" s="61"/>
      <c r="K366" s="61"/>
    </row>
    <row r="367">
      <c r="C367" s="61"/>
      <c r="H367" s="61"/>
      <c r="I367" s="61"/>
      <c r="J367" s="61"/>
      <c r="K367" s="61"/>
    </row>
    <row r="368">
      <c r="C368" s="61"/>
      <c r="H368" s="61"/>
      <c r="I368" s="61"/>
      <c r="J368" s="61"/>
      <c r="K368" s="61"/>
    </row>
    <row r="369">
      <c r="C369" s="61"/>
      <c r="H369" s="61"/>
      <c r="I369" s="61"/>
      <c r="J369" s="61"/>
      <c r="K369" s="61"/>
    </row>
    <row r="370">
      <c r="C370" s="61"/>
      <c r="H370" s="61"/>
      <c r="I370" s="61"/>
      <c r="J370" s="61"/>
      <c r="K370" s="61"/>
    </row>
    <row r="371">
      <c r="C371" s="61"/>
      <c r="H371" s="61"/>
      <c r="I371" s="61"/>
      <c r="J371" s="61"/>
      <c r="K371" s="61"/>
    </row>
    <row r="372">
      <c r="C372" s="61"/>
      <c r="H372" s="61"/>
      <c r="I372" s="61"/>
      <c r="J372" s="61"/>
      <c r="K372" s="61"/>
    </row>
    <row r="373">
      <c r="C373" s="61"/>
      <c r="H373" s="61"/>
      <c r="I373" s="61"/>
      <c r="J373" s="61"/>
      <c r="K373" s="61"/>
    </row>
    <row r="374">
      <c r="C374" s="61"/>
      <c r="H374" s="61"/>
      <c r="I374" s="61"/>
      <c r="J374" s="61"/>
      <c r="K374" s="61"/>
    </row>
    <row r="375">
      <c r="C375" s="61"/>
      <c r="H375" s="61"/>
      <c r="I375" s="61"/>
      <c r="J375" s="61"/>
      <c r="K375" s="61"/>
    </row>
    <row r="376">
      <c r="C376" s="61"/>
      <c r="H376" s="61"/>
      <c r="I376" s="61"/>
      <c r="J376" s="61"/>
      <c r="K376" s="61"/>
    </row>
    <row r="377">
      <c r="C377" s="61"/>
      <c r="H377" s="61"/>
      <c r="I377" s="61"/>
      <c r="J377" s="61"/>
      <c r="K377" s="61"/>
    </row>
    <row r="378">
      <c r="C378" s="61"/>
      <c r="H378" s="61"/>
      <c r="I378" s="61"/>
      <c r="J378" s="61"/>
      <c r="K378" s="61"/>
    </row>
    <row r="379">
      <c r="C379" s="61"/>
      <c r="H379" s="61"/>
      <c r="I379" s="61"/>
      <c r="J379" s="61"/>
      <c r="K379" s="61"/>
    </row>
    <row r="380">
      <c r="C380" s="61"/>
      <c r="H380" s="61"/>
      <c r="I380" s="61"/>
      <c r="J380" s="61"/>
      <c r="K380" s="61"/>
    </row>
    <row r="381">
      <c r="C381" s="61"/>
      <c r="H381" s="61"/>
      <c r="I381" s="61"/>
      <c r="J381" s="61"/>
      <c r="K381" s="61"/>
    </row>
    <row r="382">
      <c r="C382" s="61"/>
      <c r="H382" s="61"/>
      <c r="I382" s="61"/>
      <c r="J382" s="61"/>
      <c r="K382" s="61"/>
    </row>
    <row r="383">
      <c r="C383" s="61"/>
      <c r="H383" s="61"/>
      <c r="I383" s="61"/>
      <c r="J383" s="61"/>
      <c r="K383" s="61"/>
    </row>
    <row r="384">
      <c r="C384" s="61"/>
      <c r="H384" s="61"/>
      <c r="I384" s="61"/>
      <c r="J384" s="61"/>
      <c r="K384" s="61"/>
    </row>
    <row r="385">
      <c r="C385" s="61"/>
      <c r="H385" s="61"/>
      <c r="I385" s="61"/>
      <c r="J385" s="61"/>
      <c r="K385" s="61"/>
    </row>
    <row r="386">
      <c r="C386" s="61"/>
      <c r="H386" s="61"/>
      <c r="I386" s="61"/>
      <c r="J386" s="61"/>
      <c r="K386" s="61"/>
    </row>
    <row r="387">
      <c r="C387" s="61"/>
      <c r="H387" s="61"/>
      <c r="I387" s="61"/>
      <c r="J387" s="61"/>
      <c r="K387" s="61"/>
    </row>
    <row r="388">
      <c r="C388" s="61"/>
      <c r="H388" s="61"/>
      <c r="I388" s="61"/>
      <c r="J388" s="61"/>
      <c r="K388" s="61"/>
    </row>
    <row r="389">
      <c r="C389" s="61"/>
      <c r="H389" s="61"/>
      <c r="I389" s="61"/>
      <c r="J389" s="61"/>
      <c r="K389" s="61"/>
    </row>
    <row r="390">
      <c r="C390" s="61"/>
      <c r="H390" s="61"/>
      <c r="I390" s="61"/>
      <c r="J390" s="61"/>
      <c r="K390" s="61"/>
    </row>
    <row r="391">
      <c r="C391" s="61"/>
      <c r="H391" s="61"/>
      <c r="I391" s="61"/>
      <c r="J391" s="61"/>
      <c r="K391" s="61"/>
    </row>
    <row r="392">
      <c r="C392" s="61"/>
      <c r="H392" s="61"/>
      <c r="I392" s="61"/>
      <c r="J392" s="61"/>
      <c r="K392" s="61"/>
    </row>
    <row r="393">
      <c r="C393" s="61"/>
      <c r="H393" s="61"/>
      <c r="I393" s="61"/>
      <c r="J393" s="61"/>
      <c r="K393" s="61"/>
    </row>
    <row r="394">
      <c r="C394" s="61"/>
      <c r="H394" s="61"/>
      <c r="I394" s="61"/>
      <c r="J394" s="61"/>
      <c r="K394" s="61"/>
    </row>
    <row r="395">
      <c r="C395" s="61"/>
      <c r="H395" s="61"/>
      <c r="I395" s="61"/>
      <c r="J395" s="61"/>
      <c r="K395" s="61"/>
    </row>
    <row r="396">
      <c r="C396" s="61"/>
      <c r="H396" s="61"/>
      <c r="I396" s="61"/>
      <c r="J396" s="61"/>
      <c r="K396" s="61"/>
    </row>
    <row r="397">
      <c r="C397" s="61"/>
      <c r="H397" s="61"/>
      <c r="I397" s="61"/>
      <c r="J397" s="61"/>
      <c r="K397" s="61"/>
    </row>
    <row r="398">
      <c r="C398" s="61"/>
      <c r="H398" s="61"/>
      <c r="I398" s="61"/>
      <c r="J398" s="61"/>
      <c r="K398" s="61"/>
    </row>
    <row r="399">
      <c r="C399" s="61"/>
      <c r="H399" s="61"/>
      <c r="I399" s="61"/>
      <c r="J399" s="61"/>
      <c r="K399" s="61"/>
    </row>
    <row r="400">
      <c r="C400" s="61"/>
      <c r="H400" s="61"/>
      <c r="I400" s="61"/>
      <c r="J400" s="61"/>
      <c r="K400" s="61"/>
    </row>
    <row r="401">
      <c r="C401" s="61"/>
      <c r="H401" s="61"/>
      <c r="I401" s="61"/>
      <c r="J401" s="61"/>
      <c r="K401" s="61"/>
    </row>
    <row r="402">
      <c r="C402" s="61"/>
      <c r="H402" s="61"/>
      <c r="I402" s="61"/>
      <c r="J402" s="61"/>
      <c r="K402" s="61"/>
    </row>
    <row r="403">
      <c r="C403" s="61"/>
      <c r="H403" s="61"/>
      <c r="I403" s="61"/>
      <c r="J403" s="61"/>
      <c r="K403" s="61"/>
    </row>
    <row r="404">
      <c r="C404" s="61"/>
      <c r="H404" s="61"/>
      <c r="I404" s="61"/>
      <c r="J404" s="61"/>
      <c r="K404" s="61"/>
    </row>
    <row r="405">
      <c r="C405" s="61"/>
      <c r="H405" s="61"/>
      <c r="I405" s="61"/>
      <c r="J405" s="61"/>
      <c r="K405" s="61"/>
    </row>
    <row r="406">
      <c r="C406" s="61"/>
      <c r="H406" s="61"/>
      <c r="I406" s="61"/>
      <c r="J406" s="61"/>
      <c r="K406" s="61"/>
    </row>
    <row r="407">
      <c r="C407" s="61"/>
      <c r="H407" s="61"/>
      <c r="I407" s="61"/>
      <c r="J407" s="61"/>
      <c r="K407" s="61"/>
    </row>
    <row r="408">
      <c r="C408" s="61"/>
      <c r="H408" s="61"/>
      <c r="I408" s="61"/>
      <c r="J408" s="61"/>
      <c r="K408" s="61"/>
    </row>
    <row r="409">
      <c r="C409" s="61"/>
      <c r="H409" s="61"/>
      <c r="I409" s="61"/>
      <c r="J409" s="61"/>
      <c r="K409" s="61"/>
    </row>
    <row r="410">
      <c r="C410" s="61"/>
      <c r="H410" s="61"/>
      <c r="I410" s="61"/>
      <c r="J410" s="61"/>
      <c r="K410" s="61"/>
    </row>
    <row r="411">
      <c r="C411" s="61"/>
      <c r="H411" s="61"/>
      <c r="I411" s="61"/>
      <c r="J411" s="61"/>
      <c r="K411" s="61"/>
    </row>
    <row r="412">
      <c r="C412" s="61"/>
      <c r="H412" s="61"/>
      <c r="I412" s="61"/>
      <c r="J412" s="61"/>
      <c r="K412" s="61"/>
    </row>
    <row r="413">
      <c r="C413" s="61"/>
      <c r="H413" s="61"/>
      <c r="I413" s="61"/>
      <c r="J413" s="61"/>
      <c r="K413" s="61"/>
    </row>
    <row r="414">
      <c r="C414" s="61"/>
      <c r="H414" s="61"/>
      <c r="I414" s="61"/>
      <c r="J414" s="61"/>
      <c r="K414" s="61"/>
    </row>
    <row r="415">
      <c r="C415" s="61"/>
      <c r="H415" s="61"/>
      <c r="I415" s="61"/>
      <c r="J415" s="61"/>
      <c r="K415" s="61"/>
    </row>
    <row r="416">
      <c r="C416" s="61"/>
      <c r="H416" s="61"/>
      <c r="I416" s="61"/>
      <c r="J416" s="61"/>
      <c r="K416" s="61"/>
    </row>
    <row r="417">
      <c r="C417" s="61"/>
      <c r="H417" s="61"/>
      <c r="I417" s="61"/>
      <c r="J417" s="61"/>
      <c r="K417" s="61"/>
    </row>
    <row r="418">
      <c r="C418" s="61"/>
      <c r="H418" s="61"/>
      <c r="I418" s="61"/>
      <c r="J418" s="61"/>
      <c r="K418" s="61"/>
    </row>
    <row r="419">
      <c r="C419" s="61"/>
      <c r="H419" s="61"/>
      <c r="I419" s="61"/>
      <c r="J419" s="61"/>
      <c r="K419" s="61"/>
    </row>
    <row r="420">
      <c r="C420" s="61"/>
      <c r="H420" s="61"/>
      <c r="I420" s="61"/>
      <c r="J420" s="61"/>
      <c r="K420" s="61"/>
    </row>
    <row r="421">
      <c r="C421" s="61"/>
      <c r="H421" s="61"/>
      <c r="I421" s="61"/>
      <c r="J421" s="61"/>
      <c r="K421" s="61"/>
    </row>
    <row r="422">
      <c r="C422" s="61"/>
      <c r="H422" s="61"/>
      <c r="I422" s="61"/>
      <c r="J422" s="61"/>
      <c r="K422" s="61"/>
    </row>
    <row r="423">
      <c r="C423" s="61"/>
      <c r="H423" s="61"/>
      <c r="I423" s="61"/>
      <c r="J423" s="61"/>
      <c r="K423" s="61"/>
    </row>
    <row r="424">
      <c r="C424" s="61"/>
      <c r="H424" s="61"/>
      <c r="I424" s="61"/>
      <c r="J424" s="61"/>
      <c r="K424" s="61"/>
    </row>
    <row r="425">
      <c r="C425" s="61"/>
      <c r="H425" s="61"/>
      <c r="I425" s="61"/>
      <c r="J425" s="61"/>
      <c r="K425" s="61"/>
    </row>
    <row r="426">
      <c r="C426" s="61"/>
      <c r="H426" s="61"/>
      <c r="I426" s="61"/>
      <c r="J426" s="61"/>
      <c r="K426" s="61"/>
    </row>
    <row r="427">
      <c r="C427" s="61"/>
      <c r="H427" s="61"/>
      <c r="I427" s="61"/>
      <c r="J427" s="61"/>
      <c r="K427" s="61"/>
    </row>
    <row r="428">
      <c r="C428" s="61"/>
      <c r="H428" s="61"/>
      <c r="I428" s="61"/>
      <c r="J428" s="61"/>
      <c r="K428" s="61"/>
    </row>
    <row r="429">
      <c r="C429" s="61"/>
      <c r="H429" s="61"/>
      <c r="I429" s="61"/>
      <c r="J429" s="61"/>
      <c r="K429" s="61"/>
    </row>
    <row r="430">
      <c r="C430" s="61"/>
      <c r="H430" s="61"/>
      <c r="I430" s="61"/>
      <c r="J430" s="61"/>
      <c r="K430" s="61"/>
    </row>
    <row r="431">
      <c r="C431" s="61"/>
      <c r="H431" s="61"/>
      <c r="I431" s="61"/>
      <c r="J431" s="61"/>
      <c r="K431" s="61"/>
    </row>
    <row r="432">
      <c r="C432" s="61"/>
      <c r="H432" s="61"/>
      <c r="I432" s="61"/>
      <c r="J432" s="61"/>
      <c r="K432" s="61"/>
    </row>
    <row r="433">
      <c r="C433" s="61"/>
      <c r="H433" s="61"/>
      <c r="I433" s="61"/>
      <c r="J433" s="61"/>
      <c r="K433" s="61"/>
    </row>
    <row r="434">
      <c r="C434" s="61"/>
      <c r="H434" s="61"/>
      <c r="I434" s="61"/>
      <c r="J434" s="61"/>
      <c r="K434" s="61"/>
    </row>
    <row r="435">
      <c r="C435" s="61"/>
      <c r="H435" s="61"/>
      <c r="I435" s="61"/>
      <c r="J435" s="61"/>
      <c r="K435" s="61"/>
    </row>
    <row r="436">
      <c r="C436" s="61"/>
      <c r="H436" s="61"/>
      <c r="I436" s="61"/>
      <c r="J436" s="61"/>
      <c r="K436" s="61"/>
    </row>
    <row r="437">
      <c r="C437" s="61"/>
      <c r="H437" s="61"/>
      <c r="I437" s="61"/>
      <c r="J437" s="61"/>
      <c r="K437" s="61"/>
    </row>
    <row r="438">
      <c r="C438" s="61"/>
      <c r="H438" s="61"/>
      <c r="I438" s="61"/>
      <c r="J438" s="61"/>
      <c r="K438" s="61"/>
    </row>
    <row r="439">
      <c r="C439" s="61"/>
      <c r="H439" s="61"/>
      <c r="I439" s="61"/>
      <c r="J439" s="61"/>
      <c r="K439" s="61"/>
    </row>
    <row r="440">
      <c r="C440" s="61"/>
      <c r="H440" s="61"/>
      <c r="I440" s="61"/>
      <c r="J440" s="61"/>
      <c r="K440" s="61"/>
    </row>
    <row r="441">
      <c r="C441" s="61"/>
      <c r="H441" s="61"/>
      <c r="I441" s="61"/>
      <c r="J441" s="61"/>
      <c r="K441" s="61"/>
    </row>
    <row r="442">
      <c r="C442" s="61"/>
      <c r="H442" s="61"/>
      <c r="I442" s="61"/>
      <c r="J442" s="61"/>
      <c r="K442" s="61"/>
    </row>
    <row r="443">
      <c r="C443" s="61"/>
      <c r="H443" s="61"/>
      <c r="I443" s="61"/>
      <c r="J443" s="61"/>
      <c r="K443" s="61"/>
    </row>
    <row r="444">
      <c r="C444" s="61"/>
      <c r="H444" s="61"/>
      <c r="I444" s="61"/>
      <c r="J444" s="61"/>
      <c r="K444" s="61"/>
    </row>
    <row r="445">
      <c r="C445" s="61"/>
      <c r="H445" s="61"/>
      <c r="I445" s="61"/>
      <c r="J445" s="61"/>
      <c r="K445" s="61"/>
    </row>
    <row r="446">
      <c r="C446" s="61"/>
      <c r="H446" s="61"/>
      <c r="I446" s="61"/>
      <c r="J446" s="61"/>
      <c r="K446" s="61"/>
    </row>
    <row r="447">
      <c r="C447" s="61"/>
      <c r="H447" s="61"/>
      <c r="I447" s="61"/>
      <c r="J447" s="61"/>
      <c r="K447" s="61"/>
    </row>
    <row r="448">
      <c r="C448" s="61"/>
      <c r="H448" s="61"/>
      <c r="I448" s="61"/>
      <c r="J448" s="61"/>
      <c r="K448" s="61"/>
    </row>
    <row r="449">
      <c r="C449" s="61"/>
      <c r="H449" s="61"/>
      <c r="I449" s="61"/>
      <c r="J449" s="61"/>
      <c r="K449" s="61"/>
    </row>
    <row r="450">
      <c r="C450" s="61"/>
      <c r="H450" s="61"/>
      <c r="I450" s="61"/>
      <c r="J450" s="61"/>
      <c r="K450" s="61"/>
    </row>
    <row r="451">
      <c r="C451" s="61"/>
      <c r="H451" s="61"/>
      <c r="I451" s="61"/>
      <c r="J451" s="61"/>
      <c r="K451" s="61"/>
    </row>
    <row r="452">
      <c r="C452" s="61"/>
      <c r="H452" s="61"/>
      <c r="I452" s="61"/>
      <c r="J452" s="61"/>
      <c r="K452" s="61"/>
    </row>
    <row r="453">
      <c r="C453" s="61"/>
      <c r="H453" s="61"/>
      <c r="I453" s="61"/>
      <c r="J453" s="61"/>
      <c r="K453" s="61"/>
    </row>
    <row r="454">
      <c r="C454" s="61"/>
      <c r="H454" s="61"/>
      <c r="I454" s="61"/>
      <c r="J454" s="61"/>
      <c r="K454" s="61"/>
    </row>
    <row r="455">
      <c r="C455" s="61"/>
      <c r="H455" s="61"/>
      <c r="I455" s="61"/>
      <c r="J455" s="61"/>
      <c r="K455" s="61"/>
    </row>
    <row r="456">
      <c r="C456" s="61"/>
      <c r="H456" s="61"/>
      <c r="I456" s="61"/>
      <c r="J456" s="61"/>
      <c r="K456" s="61"/>
    </row>
    <row r="457">
      <c r="C457" s="61"/>
      <c r="H457" s="61"/>
      <c r="I457" s="61"/>
      <c r="J457" s="61"/>
      <c r="K457" s="61"/>
    </row>
    <row r="458">
      <c r="C458" s="61"/>
      <c r="H458" s="61"/>
      <c r="I458" s="61"/>
      <c r="J458" s="61"/>
      <c r="K458" s="61"/>
    </row>
    <row r="459">
      <c r="C459" s="61"/>
      <c r="H459" s="61"/>
      <c r="I459" s="61"/>
      <c r="J459" s="61"/>
      <c r="K459" s="61"/>
    </row>
    <row r="460">
      <c r="C460" s="61"/>
      <c r="H460" s="61"/>
      <c r="I460" s="61"/>
      <c r="J460" s="61"/>
      <c r="K460" s="61"/>
    </row>
    <row r="461">
      <c r="C461" s="61"/>
      <c r="H461" s="61"/>
      <c r="I461" s="61"/>
      <c r="J461" s="61"/>
      <c r="K461" s="61"/>
    </row>
    <row r="462">
      <c r="C462" s="61"/>
      <c r="H462" s="61"/>
      <c r="I462" s="61"/>
      <c r="J462" s="61"/>
      <c r="K462" s="61"/>
    </row>
    <row r="463">
      <c r="C463" s="61"/>
      <c r="H463" s="61"/>
      <c r="I463" s="61"/>
      <c r="J463" s="61"/>
      <c r="K463" s="61"/>
    </row>
    <row r="464">
      <c r="C464" s="61"/>
      <c r="H464" s="61"/>
      <c r="I464" s="61"/>
      <c r="J464" s="61"/>
      <c r="K464" s="61"/>
    </row>
    <row r="465">
      <c r="C465" s="61"/>
      <c r="H465" s="61"/>
      <c r="I465" s="61"/>
      <c r="J465" s="61"/>
      <c r="K465" s="61"/>
    </row>
    <row r="466">
      <c r="C466" s="61"/>
      <c r="H466" s="61"/>
      <c r="I466" s="61"/>
      <c r="J466" s="61"/>
      <c r="K466" s="61"/>
    </row>
    <row r="467">
      <c r="C467" s="61"/>
      <c r="H467" s="61"/>
      <c r="I467" s="61"/>
      <c r="J467" s="61"/>
      <c r="K467" s="61"/>
    </row>
    <row r="468">
      <c r="C468" s="61"/>
      <c r="H468" s="61"/>
      <c r="I468" s="61"/>
      <c r="J468" s="61"/>
      <c r="K468" s="61"/>
    </row>
    <row r="469">
      <c r="C469" s="61"/>
      <c r="H469" s="61"/>
      <c r="I469" s="61"/>
      <c r="J469" s="61"/>
      <c r="K469" s="61"/>
    </row>
    <row r="470">
      <c r="C470" s="61"/>
      <c r="H470" s="61"/>
      <c r="I470" s="61"/>
      <c r="J470" s="61"/>
      <c r="K470" s="61"/>
    </row>
    <row r="471">
      <c r="C471" s="61"/>
      <c r="H471" s="61"/>
      <c r="I471" s="61"/>
      <c r="J471" s="61"/>
      <c r="K471" s="61"/>
    </row>
    <row r="472">
      <c r="C472" s="61"/>
      <c r="H472" s="61"/>
      <c r="I472" s="61"/>
      <c r="J472" s="61"/>
      <c r="K472" s="61"/>
    </row>
    <row r="473">
      <c r="C473" s="61"/>
      <c r="H473" s="61"/>
      <c r="I473" s="61"/>
      <c r="J473" s="61"/>
      <c r="K473" s="61"/>
    </row>
    <row r="474">
      <c r="C474" s="61"/>
      <c r="H474" s="61"/>
      <c r="I474" s="61"/>
      <c r="J474" s="61"/>
      <c r="K474" s="61"/>
    </row>
    <row r="475">
      <c r="C475" s="61"/>
      <c r="H475" s="61"/>
      <c r="I475" s="61"/>
      <c r="J475" s="61"/>
      <c r="K475" s="61"/>
    </row>
    <row r="476">
      <c r="C476" s="61"/>
      <c r="H476" s="61"/>
      <c r="I476" s="61"/>
      <c r="J476" s="61"/>
      <c r="K476" s="61"/>
    </row>
    <row r="477">
      <c r="C477" s="61"/>
      <c r="H477" s="61"/>
      <c r="I477" s="61"/>
      <c r="J477" s="61"/>
      <c r="K477" s="61"/>
    </row>
    <row r="478">
      <c r="C478" s="61"/>
      <c r="H478" s="61"/>
      <c r="I478" s="61"/>
      <c r="J478" s="61"/>
      <c r="K478" s="61"/>
    </row>
    <row r="479">
      <c r="C479" s="61"/>
      <c r="H479" s="61"/>
      <c r="I479" s="61"/>
      <c r="J479" s="61"/>
      <c r="K479" s="61"/>
    </row>
    <row r="480">
      <c r="C480" s="61"/>
      <c r="H480" s="61"/>
      <c r="I480" s="61"/>
      <c r="J480" s="61"/>
      <c r="K480" s="61"/>
    </row>
    <row r="481">
      <c r="C481" s="61"/>
      <c r="H481" s="61"/>
      <c r="I481" s="61"/>
      <c r="J481" s="61"/>
      <c r="K481" s="61"/>
    </row>
    <row r="482">
      <c r="C482" s="61"/>
      <c r="H482" s="61"/>
      <c r="I482" s="61"/>
      <c r="J482" s="61"/>
      <c r="K482" s="61"/>
    </row>
    <row r="483">
      <c r="C483" s="61"/>
      <c r="H483" s="61"/>
      <c r="I483" s="61"/>
      <c r="J483" s="61"/>
      <c r="K483" s="61"/>
    </row>
    <row r="484">
      <c r="C484" s="61"/>
      <c r="H484" s="61"/>
      <c r="I484" s="61"/>
      <c r="J484" s="61"/>
      <c r="K484" s="61"/>
    </row>
    <row r="485">
      <c r="C485" s="61"/>
      <c r="H485" s="61"/>
      <c r="I485" s="61"/>
      <c r="J485" s="61"/>
      <c r="K485" s="61"/>
    </row>
    <row r="486">
      <c r="C486" s="61"/>
      <c r="H486" s="61"/>
      <c r="I486" s="61"/>
      <c r="J486" s="61"/>
      <c r="K486" s="61"/>
    </row>
    <row r="487">
      <c r="C487" s="61"/>
      <c r="H487" s="61"/>
      <c r="I487" s="61"/>
      <c r="J487" s="61"/>
      <c r="K487" s="61"/>
    </row>
    <row r="488">
      <c r="C488" s="61"/>
      <c r="H488" s="61"/>
      <c r="I488" s="61"/>
      <c r="J488" s="61"/>
      <c r="K488" s="61"/>
    </row>
    <row r="489">
      <c r="C489" s="61"/>
      <c r="H489" s="61"/>
      <c r="I489" s="61"/>
      <c r="J489" s="61"/>
      <c r="K489" s="61"/>
    </row>
    <row r="490">
      <c r="C490" s="61"/>
      <c r="H490" s="61"/>
      <c r="I490" s="61"/>
      <c r="J490" s="61"/>
      <c r="K490" s="61"/>
    </row>
    <row r="491">
      <c r="C491" s="61"/>
      <c r="H491" s="61"/>
      <c r="I491" s="61"/>
      <c r="J491" s="61"/>
      <c r="K491" s="61"/>
    </row>
    <row r="492">
      <c r="C492" s="61"/>
      <c r="H492" s="61"/>
      <c r="I492" s="61"/>
      <c r="J492" s="61"/>
      <c r="K492" s="61"/>
    </row>
    <row r="493">
      <c r="C493" s="61"/>
      <c r="H493" s="61"/>
      <c r="I493" s="61"/>
      <c r="J493" s="61"/>
      <c r="K493" s="61"/>
    </row>
    <row r="494">
      <c r="C494" s="61"/>
      <c r="H494" s="61"/>
      <c r="I494" s="61"/>
      <c r="J494" s="61"/>
      <c r="K494" s="61"/>
    </row>
    <row r="495">
      <c r="C495" s="61"/>
      <c r="H495" s="61"/>
      <c r="I495" s="61"/>
      <c r="J495" s="61"/>
      <c r="K495" s="61"/>
    </row>
    <row r="496">
      <c r="C496" s="61"/>
      <c r="H496" s="61"/>
      <c r="I496" s="61"/>
      <c r="J496" s="61"/>
      <c r="K496" s="61"/>
    </row>
    <row r="497">
      <c r="C497" s="61"/>
      <c r="H497" s="61"/>
      <c r="I497" s="61"/>
      <c r="J497" s="61"/>
      <c r="K497" s="61"/>
    </row>
    <row r="498">
      <c r="C498" s="61"/>
      <c r="H498" s="61"/>
      <c r="I498" s="61"/>
      <c r="J498" s="61"/>
      <c r="K498" s="61"/>
    </row>
    <row r="499">
      <c r="C499" s="61"/>
      <c r="H499" s="61"/>
      <c r="I499" s="61"/>
      <c r="J499" s="61"/>
      <c r="K499" s="61"/>
    </row>
    <row r="500">
      <c r="C500" s="61"/>
      <c r="H500" s="61"/>
      <c r="I500" s="61"/>
      <c r="J500" s="61"/>
      <c r="K500" s="61"/>
    </row>
    <row r="501">
      <c r="C501" s="61"/>
      <c r="H501" s="61"/>
      <c r="I501" s="61"/>
      <c r="J501" s="61"/>
      <c r="K501" s="61"/>
    </row>
    <row r="502">
      <c r="C502" s="61"/>
      <c r="H502" s="61"/>
      <c r="I502" s="61"/>
      <c r="J502" s="61"/>
      <c r="K502" s="61"/>
    </row>
    <row r="503">
      <c r="C503" s="61"/>
      <c r="H503" s="61"/>
      <c r="I503" s="61"/>
      <c r="J503" s="61"/>
      <c r="K503" s="61"/>
    </row>
    <row r="504">
      <c r="C504" s="61"/>
      <c r="H504" s="61"/>
      <c r="I504" s="61"/>
      <c r="J504" s="61"/>
      <c r="K504" s="61"/>
    </row>
    <row r="505">
      <c r="C505" s="61"/>
      <c r="H505" s="61"/>
      <c r="I505" s="61"/>
      <c r="J505" s="61"/>
      <c r="K505" s="61"/>
    </row>
    <row r="506">
      <c r="C506" s="61"/>
      <c r="H506" s="61"/>
      <c r="I506" s="61"/>
      <c r="J506" s="61"/>
      <c r="K506" s="61"/>
    </row>
    <row r="507">
      <c r="C507" s="61"/>
      <c r="H507" s="61"/>
      <c r="I507" s="61"/>
      <c r="J507" s="61"/>
      <c r="K507" s="61"/>
    </row>
    <row r="508">
      <c r="C508" s="61"/>
      <c r="H508" s="61"/>
      <c r="I508" s="61"/>
      <c r="J508" s="61"/>
      <c r="K508" s="61"/>
    </row>
    <row r="509">
      <c r="C509" s="61"/>
      <c r="H509" s="61"/>
      <c r="I509" s="61"/>
      <c r="J509" s="61"/>
      <c r="K509" s="61"/>
    </row>
    <row r="510">
      <c r="C510" s="61"/>
      <c r="H510" s="61"/>
      <c r="I510" s="61"/>
      <c r="J510" s="61"/>
      <c r="K510" s="61"/>
    </row>
    <row r="511">
      <c r="C511" s="61"/>
      <c r="H511" s="61"/>
      <c r="I511" s="61"/>
      <c r="J511" s="61"/>
      <c r="K511" s="61"/>
    </row>
    <row r="512">
      <c r="C512" s="61"/>
      <c r="H512" s="61"/>
      <c r="I512" s="61"/>
      <c r="J512" s="61"/>
      <c r="K512" s="61"/>
    </row>
    <row r="513">
      <c r="C513" s="61"/>
      <c r="H513" s="61"/>
      <c r="I513" s="61"/>
      <c r="J513" s="61"/>
      <c r="K513" s="61"/>
    </row>
    <row r="514">
      <c r="C514" s="61"/>
      <c r="H514" s="61"/>
      <c r="I514" s="61"/>
      <c r="J514" s="61"/>
      <c r="K514" s="61"/>
    </row>
    <row r="515">
      <c r="C515" s="61"/>
      <c r="H515" s="61"/>
      <c r="I515" s="61"/>
      <c r="J515" s="61"/>
      <c r="K515" s="61"/>
    </row>
    <row r="516">
      <c r="C516" s="61"/>
      <c r="H516" s="61"/>
      <c r="I516" s="61"/>
      <c r="J516" s="61"/>
      <c r="K516" s="61"/>
    </row>
    <row r="517">
      <c r="C517" s="61"/>
      <c r="H517" s="61"/>
      <c r="I517" s="61"/>
      <c r="J517" s="61"/>
      <c r="K517" s="61"/>
    </row>
    <row r="518">
      <c r="C518" s="61"/>
      <c r="H518" s="61"/>
      <c r="I518" s="61"/>
      <c r="J518" s="61"/>
      <c r="K518" s="61"/>
    </row>
    <row r="519">
      <c r="C519" s="61"/>
      <c r="H519" s="61"/>
      <c r="I519" s="61"/>
      <c r="J519" s="61"/>
      <c r="K519" s="61"/>
    </row>
    <row r="520">
      <c r="C520" s="61"/>
      <c r="H520" s="61"/>
      <c r="I520" s="61"/>
      <c r="J520" s="61"/>
      <c r="K520" s="61"/>
    </row>
    <row r="521">
      <c r="C521" s="61"/>
      <c r="H521" s="61"/>
      <c r="I521" s="61"/>
      <c r="J521" s="61"/>
      <c r="K521" s="61"/>
    </row>
    <row r="522">
      <c r="C522" s="61"/>
      <c r="H522" s="61"/>
      <c r="I522" s="61"/>
      <c r="J522" s="61"/>
      <c r="K522" s="61"/>
    </row>
    <row r="523">
      <c r="C523" s="61"/>
      <c r="H523" s="61"/>
      <c r="I523" s="61"/>
      <c r="J523" s="61"/>
      <c r="K523" s="61"/>
    </row>
    <row r="524">
      <c r="C524" s="61"/>
      <c r="H524" s="61"/>
      <c r="I524" s="61"/>
      <c r="J524" s="61"/>
      <c r="K524" s="61"/>
    </row>
    <row r="525">
      <c r="C525" s="61"/>
      <c r="H525" s="61"/>
      <c r="I525" s="61"/>
      <c r="J525" s="61"/>
      <c r="K525" s="61"/>
    </row>
    <row r="526">
      <c r="C526" s="61"/>
      <c r="H526" s="61"/>
      <c r="I526" s="61"/>
      <c r="J526" s="61"/>
      <c r="K526" s="61"/>
    </row>
    <row r="527">
      <c r="C527" s="61"/>
      <c r="H527" s="61"/>
      <c r="I527" s="61"/>
      <c r="J527" s="61"/>
      <c r="K527" s="61"/>
    </row>
    <row r="528">
      <c r="C528" s="61"/>
      <c r="H528" s="61"/>
      <c r="I528" s="61"/>
      <c r="J528" s="61"/>
      <c r="K528" s="61"/>
    </row>
    <row r="529">
      <c r="C529" s="61"/>
      <c r="H529" s="61"/>
      <c r="I529" s="61"/>
      <c r="J529" s="61"/>
      <c r="K529" s="61"/>
    </row>
    <row r="530">
      <c r="C530" s="61"/>
      <c r="H530" s="61"/>
      <c r="I530" s="61"/>
      <c r="J530" s="61"/>
      <c r="K530" s="61"/>
    </row>
    <row r="531">
      <c r="C531" s="61"/>
      <c r="H531" s="61"/>
      <c r="I531" s="61"/>
      <c r="J531" s="61"/>
      <c r="K531" s="61"/>
    </row>
    <row r="532">
      <c r="C532" s="61"/>
      <c r="H532" s="61"/>
      <c r="I532" s="61"/>
      <c r="J532" s="61"/>
      <c r="K532" s="61"/>
    </row>
    <row r="533">
      <c r="C533" s="61"/>
      <c r="H533" s="61"/>
      <c r="I533" s="61"/>
      <c r="J533" s="61"/>
      <c r="K533" s="61"/>
    </row>
    <row r="534">
      <c r="C534" s="61"/>
      <c r="H534" s="61"/>
      <c r="I534" s="61"/>
      <c r="J534" s="61"/>
      <c r="K534" s="61"/>
    </row>
    <row r="535">
      <c r="C535" s="61"/>
      <c r="H535" s="61"/>
      <c r="I535" s="61"/>
      <c r="J535" s="61"/>
      <c r="K535" s="61"/>
    </row>
    <row r="536">
      <c r="C536" s="61"/>
      <c r="H536" s="61"/>
      <c r="I536" s="61"/>
      <c r="J536" s="61"/>
      <c r="K536" s="61"/>
    </row>
    <row r="537">
      <c r="C537" s="61"/>
      <c r="H537" s="61"/>
      <c r="I537" s="61"/>
      <c r="J537" s="61"/>
      <c r="K537" s="61"/>
    </row>
    <row r="538">
      <c r="C538" s="61"/>
      <c r="H538" s="61"/>
      <c r="I538" s="61"/>
      <c r="J538" s="61"/>
      <c r="K538" s="61"/>
    </row>
    <row r="539">
      <c r="C539" s="61"/>
      <c r="H539" s="61"/>
      <c r="I539" s="61"/>
      <c r="J539" s="61"/>
      <c r="K539" s="61"/>
    </row>
    <row r="540">
      <c r="C540" s="61"/>
      <c r="H540" s="61"/>
      <c r="I540" s="61"/>
      <c r="J540" s="61"/>
      <c r="K540" s="61"/>
    </row>
    <row r="541">
      <c r="C541" s="61"/>
      <c r="H541" s="61"/>
      <c r="I541" s="61"/>
      <c r="J541" s="61"/>
      <c r="K541" s="61"/>
    </row>
    <row r="542">
      <c r="C542" s="61"/>
      <c r="H542" s="61"/>
      <c r="I542" s="61"/>
      <c r="J542" s="61"/>
      <c r="K542" s="61"/>
    </row>
    <row r="543">
      <c r="C543" s="61"/>
      <c r="H543" s="61"/>
      <c r="I543" s="61"/>
      <c r="J543" s="61"/>
      <c r="K543" s="61"/>
    </row>
    <row r="544">
      <c r="C544" s="61"/>
      <c r="H544" s="61"/>
      <c r="I544" s="61"/>
      <c r="J544" s="61"/>
      <c r="K544" s="61"/>
    </row>
    <row r="545">
      <c r="C545" s="61"/>
      <c r="H545" s="61"/>
      <c r="I545" s="61"/>
      <c r="J545" s="61"/>
      <c r="K545" s="61"/>
    </row>
    <row r="546">
      <c r="C546" s="61"/>
      <c r="H546" s="61"/>
      <c r="I546" s="61"/>
      <c r="J546" s="61"/>
      <c r="K546" s="61"/>
    </row>
    <row r="547">
      <c r="C547" s="61"/>
      <c r="H547" s="61"/>
      <c r="I547" s="61"/>
      <c r="J547" s="61"/>
      <c r="K547" s="61"/>
    </row>
    <row r="548">
      <c r="C548" s="61"/>
      <c r="H548" s="61"/>
      <c r="I548" s="61"/>
      <c r="J548" s="61"/>
      <c r="K548" s="61"/>
    </row>
    <row r="549">
      <c r="C549" s="61"/>
      <c r="H549" s="61"/>
      <c r="I549" s="61"/>
      <c r="J549" s="61"/>
      <c r="K549" s="61"/>
    </row>
    <row r="550">
      <c r="C550" s="61"/>
      <c r="H550" s="61"/>
      <c r="I550" s="61"/>
      <c r="J550" s="61"/>
      <c r="K550" s="61"/>
    </row>
    <row r="551">
      <c r="C551" s="61"/>
      <c r="H551" s="61"/>
      <c r="I551" s="61"/>
      <c r="J551" s="61"/>
      <c r="K551" s="61"/>
    </row>
    <row r="552">
      <c r="C552" s="61"/>
      <c r="H552" s="61"/>
      <c r="I552" s="61"/>
      <c r="J552" s="61"/>
      <c r="K552" s="61"/>
    </row>
    <row r="553">
      <c r="C553" s="61"/>
      <c r="H553" s="61"/>
      <c r="I553" s="61"/>
      <c r="J553" s="61"/>
      <c r="K553" s="61"/>
    </row>
    <row r="554">
      <c r="C554" s="61"/>
      <c r="H554" s="61"/>
      <c r="I554" s="61"/>
      <c r="J554" s="61"/>
      <c r="K554" s="61"/>
    </row>
    <row r="555">
      <c r="C555" s="61"/>
      <c r="H555" s="61"/>
      <c r="I555" s="61"/>
      <c r="J555" s="61"/>
      <c r="K555" s="61"/>
    </row>
    <row r="556">
      <c r="C556" s="61"/>
      <c r="H556" s="61"/>
      <c r="I556" s="61"/>
      <c r="J556" s="61"/>
      <c r="K556" s="61"/>
    </row>
    <row r="557">
      <c r="C557" s="61"/>
      <c r="H557" s="61"/>
      <c r="I557" s="61"/>
      <c r="J557" s="61"/>
      <c r="K557" s="61"/>
    </row>
    <row r="558">
      <c r="C558" s="61"/>
      <c r="H558" s="61"/>
      <c r="I558" s="61"/>
      <c r="J558" s="61"/>
      <c r="K558" s="61"/>
    </row>
    <row r="559">
      <c r="C559" s="61"/>
      <c r="H559" s="61"/>
      <c r="I559" s="61"/>
      <c r="J559" s="61"/>
      <c r="K559" s="61"/>
    </row>
    <row r="560">
      <c r="C560" s="61"/>
      <c r="H560" s="61"/>
      <c r="I560" s="61"/>
      <c r="J560" s="61"/>
      <c r="K560" s="61"/>
    </row>
    <row r="561">
      <c r="C561" s="61"/>
      <c r="H561" s="61"/>
      <c r="I561" s="61"/>
      <c r="J561" s="61"/>
      <c r="K561" s="61"/>
    </row>
    <row r="562">
      <c r="C562" s="61"/>
      <c r="H562" s="61"/>
      <c r="I562" s="61"/>
      <c r="J562" s="61"/>
      <c r="K562" s="61"/>
    </row>
    <row r="563">
      <c r="C563" s="61"/>
      <c r="H563" s="61"/>
      <c r="I563" s="61"/>
      <c r="J563" s="61"/>
      <c r="K563" s="61"/>
    </row>
    <row r="564">
      <c r="C564" s="61"/>
      <c r="H564" s="61"/>
      <c r="I564" s="61"/>
      <c r="J564" s="61"/>
      <c r="K564" s="61"/>
    </row>
    <row r="565">
      <c r="C565" s="61"/>
      <c r="H565" s="61"/>
      <c r="I565" s="61"/>
      <c r="J565" s="61"/>
      <c r="K565" s="61"/>
    </row>
    <row r="566">
      <c r="C566" s="61"/>
      <c r="H566" s="61"/>
      <c r="I566" s="61"/>
      <c r="J566" s="61"/>
      <c r="K566" s="61"/>
    </row>
    <row r="567">
      <c r="C567" s="61"/>
      <c r="H567" s="61"/>
      <c r="I567" s="61"/>
      <c r="J567" s="61"/>
      <c r="K567" s="61"/>
    </row>
    <row r="568">
      <c r="C568" s="61"/>
      <c r="H568" s="61"/>
      <c r="I568" s="61"/>
      <c r="J568" s="61"/>
      <c r="K568" s="61"/>
    </row>
    <row r="569">
      <c r="C569" s="61"/>
      <c r="H569" s="61"/>
      <c r="I569" s="61"/>
      <c r="J569" s="61"/>
      <c r="K569" s="61"/>
    </row>
    <row r="570">
      <c r="C570" s="61"/>
      <c r="H570" s="61"/>
      <c r="I570" s="61"/>
      <c r="J570" s="61"/>
      <c r="K570" s="61"/>
    </row>
    <row r="571">
      <c r="C571" s="61"/>
      <c r="H571" s="61"/>
      <c r="I571" s="61"/>
      <c r="J571" s="61"/>
      <c r="K571" s="61"/>
    </row>
    <row r="572">
      <c r="C572" s="61"/>
      <c r="H572" s="61"/>
      <c r="I572" s="61"/>
      <c r="J572" s="61"/>
      <c r="K572" s="61"/>
    </row>
    <row r="573">
      <c r="C573" s="61"/>
      <c r="H573" s="61"/>
      <c r="I573" s="61"/>
      <c r="J573" s="61"/>
      <c r="K573" s="61"/>
    </row>
    <row r="574">
      <c r="C574" s="61"/>
      <c r="H574" s="61"/>
      <c r="I574" s="61"/>
      <c r="J574" s="61"/>
      <c r="K574" s="61"/>
    </row>
    <row r="575">
      <c r="C575" s="61"/>
      <c r="H575" s="61"/>
      <c r="I575" s="61"/>
      <c r="J575" s="61"/>
      <c r="K575" s="61"/>
    </row>
    <row r="576">
      <c r="C576" s="61"/>
      <c r="H576" s="61"/>
      <c r="I576" s="61"/>
      <c r="J576" s="61"/>
      <c r="K576" s="61"/>
    </row>
    <row r="577">
      <c r="C577" s="61"/>
      <c r="H577" s="61"/>
      <c r="I577" s="61"/>
      <c r="J577" s="61"/>
      <c r="K577" s="61"/>
    </row>
    <row r="578">
      <c r="C578" s="61"/>
      <c r="H578" s="61"/>
      <c r="I578" s="61"/>
      <c r="J578" s="61"/>
      <c r="K578" s="61"/>
    </row>
    <row r="579">
      <c r="C579" s="61"/>
      <c r="H579" s="61"/>
      <c r="I579" s="61"/>
      <c r="J579" s="61"/>
      <c r="K579" s="61"/>
    </row>
    <row r="580">
      <c r="C580" s="61"/>
      <c r="H580" s="61"/>
      <c r="I580" s="61"/>
      <c r="J580" s="61"/>
      <c r="K580" s="61"/>
    </row>
    <row r="581">
      <c r="C581" s="61"/>
      <c r="H581" s="61"/>
      <c r="I581" s="61"/>
      <c r="J581" s="61"/>
      <c r="K581" s="61"/>
    </row>
    <row r="582">
      <c r="C582" s="61"/>
      <c r="H582" s="61"/>
      <c r="I582" s="61"/>
      <c r="J582" s="61"/>
      <c r="K582" s="61"/>
    </row>
    <row r="583">
      <c r="C583" s="61"/>
      <c r="H583" s="61"/>
      <c r="I583" s="61"/>
      <c r="J583" s="61"/>
      <c r="K583" s="61"/>
    </row>
    <row r="584">
      <c r="C584" s="61"/>
      <c r="H584" s="61"/>
      <c r="I584" s="61"/>
      <c r="J584" s="61"/>
      <c r="K584" s="61"/>
    </row>
    <row r="585">
      <c r="C585" s="61"/>
      <c r="H585" s="61"/>
      <c r="I585" s="61"/>
      <c r="J585" s="61"/>
      <c r="K585" s="61"/>
    </row>
    <row r="586">
      <c r="C586" s="61"/>
      <c r="H586" s="61"/>
      <c r="I586" s="61"/>
      <c r="J586" s="61"/>
      <c r="K586" s="61"/>
    </row>
    <row r="587">
      <c r="C587" s="61"/>
      <c r="H587" s="61"/>
      <c r="I587" s="61"/>
      <c r="J587" s="61"/>
      <c r="K587" s="61"/>
    </row>
    <row r="588">
      <c r="C588" s="61"/>
      <c r="H588" s="61"/>
      <c r="I588" s="61"/>
      <c r="J588" s="61"/>
      <c r="K588" s="61"/>
    </row>
    <row r="589">
      <c r="C589" s="61"/>
      <c r="H589" s="61"/>
      <c r="I589" s="61"/>
      <c r="J589" s="61"/>
      <c r="K589" s="61"/>
    </row>
    <row r="590">
      <c r="C590" s="61"/>
      <c r="H590" s="61"/>
      <c r="I590" s="61"/>
      <c r="J590" s="61"/>
      <c r="K590" s="61"/>
    </row>
    <row r="591">
      <c r="C591" s="61"/>
      <c r="H591" s="61"/>
      <c r="I591" s="61"/>
      <c r="J591" s="61"/>
      <c r="K591" s="61"/>
    </row>
    <row r="592">
      <c r="C592" s="61"/>
      <c r="H592" s="61"/>
      <c r="I592" s="61"/>
      <c r="J592" s="61"/>
      <c r="K592" s="61"/>
    </row>
    <row r="593">
      <c r="C593" s="61"/>
      <c r="H593" s="61"/>
      <c r="I593" s="61"/>
      <c r="J593" s="61"/>
      <c r="K593" s="61"/>
    </row>
    <row r="594">
      <c r="C594" s="61"/>
      <c r="H594" s="61"/>
      <c r="I594" s="61"/>
      <c r="J594" s="61"/>
      <c r="K594" s="61"/>
    </row>
    <row r="595">
      <c r="C595" s="61"/>
      <c r="H595" s="61"/>
      <c r="I595" s="61"/>
      <c r="J595" s="61"/>
      <c r="K595" s="61"/>
    </row>
    <row r="596">
      <c r="C596" s="61"/>
      <c r="H596" s="61"/>
      <c r="I596" s="61"/>
      <c r="J596" s="61"/>
      <c r="K596" s="61"/>
    </row>
    <row r="597">
      <c r="C597" s="61"/>
      <c r="H597" s="61"/>
      <c r="I597" s="61"/>
      <c r="J597" s="61"/>
      <c r="K597" s="61"/>
    </row>
    <row r="598">
      <c r="C598" s="61"/>
      <c r="H598" s="61"/>
      <c r="I598" s="61"/>
      <c r="J598" s="61"/>
      <c r="K598" s="61"/>
    </row>
    <row r="599">
      <c r="C599" s="61"/>
      <c r="H599" s="61"/>
      <c r="I599" s="61"/>
      <c r="J599" s="61"/>
      <c r="K599" s="61"/>
    </row>
    <row r="600">
      <c r="C600" s="61"/>
      <c r="H600" s="61"/>
      <c r="I600" s="61"/>
      <c r="J600" s="61"/>
      <c r="K600" s="61"/>
    </row>
    <row r="601">
      <c r="C601" s="61"/>
      <c r="H601" s="61"/>
      <c r="I601" s="61"/>
      <c r="J601" s="61"/>
      <c r="K601" s="61"/>
    </row>
    <row r="602">
      <c r="C602" s="61"/>
      <c r="H602" s="61"/>
      <c r="I602" s="61"/>
      <c r="J602" s="61"/>
      <c r="K602" s="61"/>
    </row>
    <row r="603">
      <c r="C603" s="61"/>
      <c r="H603" s="61"/>
      <c r="I603" s="61"/>
      <c r="J603" s="61"/>
      <c r="K603" s="61"/>
    </row>
    <row r="604">
      <c r="C604" s="61"/>
      <c r="H604" s="61"/>
      <c r="I604" s="61"/>
      <c r="J604" s="61"/>
      <c r="K604" s="61"/>
    </row>
    <row r="605">
      <c r="C605" s="61"/>
      <c r="H605" s="61"/>
      <c r="I605" s="61"/>
      <c r="J605" s="61"/>
      <c r="K605" s="61"/>
    </row>
    <row r="606">
      <c r="C606" s="61"/>
      <c r="H606" s="61"/>
      <c r="I606" s="61"/>
      <c r="J606" s="61"/>
      <c r="K606" s="61"/>
    </row>
    <row r="607">
      <c r="C607" s="61"/>
      <c r="H607" s="61"/>
      <c r="I607" s="61"/>
      <c r="J607" s="61"/>
      <c r="K607" s="61"/>
    </row>
    <row r="608">
      <c r="C608" s="61"/>
      <c r="H608" s="61"/>
      <c r="I608" s="61"/>
      <c r="J608" s="61"/>
      <c r="K608" s="61"/>
    </row>
    <row r="609">
      <c r="C609" s="61"/>
      <c r="H609" s="61"/>
      <c r="I609" s="61"/>
      <c r="J609" s="61"/>
      <c r="K609" s="61"/>
    </row>
    <row r="610">
      <c r="C610" s="61"/>
      <c r="H610" s="61"/>
      <c r="I610" s="61"/>
      <c r="J610" s="61"/>
      <c r="K610" s="61"/>
    </row>
    <row r="611">
      <c r="C611" s="61"/>
      <c r="H611" s="61"/>
      <c r="I611" s="61"/>
      <c r="J611" s="61"/>
      <c r="K611" s="61"/>
    </row>
    <row r="612">
      <c r="C612" s="61"/>
      <c r="H612" s="61"/>
      <c r="I612" s="61"/>
      <c r="J612" s="61"/>
      <c r="K612" s="61"/>
    </row>
    <row r="613">
      <c r="C613" s="61"/>
      <c r="H613" s="61"/>
      <c r="I613" s="61"/>
      <c r="J613" s="61"/>
      <c r="K613" s="61"/>
    </row>
    <row r="614">
      <c r="C614" s="61"/>
      <c r="H614" s="61"/>
      <c r="I614" s="61"/>
      <c r="J614" s="61"/>
      <c r="K614" s="61"/>
    </row>
    <row r="615">
      <c r="C615" s="61"/>
      <c r="H615" s="61"/>
      <c r="I615" s="61"/>
      <c r="J615" s="61"/>
      <c r="K615" s="61"/>
    </row>
    <row r="616">
      <c r="C616" s="61"/>
      <c r="H616" s="61"/>
      <c r="I616" s="61"/>
      <c r="J616" s="61"/>
      <c r="K616" s="61"/>
    </row>
    <row r="617">
      <c r="C617" s="61"/>
      <c r="H617" s="61"/>
      <c r="I617" s="61"/>
      <c r="J617" s="61"/>
      <c r="K617" s="61"/>
    </row>
    <row r="618">
      <c r="C618" s="61"/>
      <c r="H618" s="61"/>
      <c r="I618" s="61"/>
      <c r="J618" s="61"/>
      <c r="K618" s="61"/>
    </row>
    <row r="619">
      <c r="C619" s="61"/>
      <c r="H619" s="61"/>
      <c r="I619" s="61"/>
      <c r="J619" s="61"/>
      <c r="K619" s="61"/>
    </row>
    <row r="620">
      <c r="C620" s="61"/>
      <c r="H620" s="61"/>
      <c r="I620" s="61"/>
      <c r="J620" s="61"/>
      <c r="K620" s="61"/>
    </row>
    <row r="621">
      <c r="C621" s="61"/>
      <c r="H621" s="61"/>
      <c r="I621" s="61"/>
      <c r="J621" s="61"/>
      <c r="K621" s="61"/>
    </row>
    <row r="622">
      <c r="C622" s="61"/>
      <c r="H622" s="61"/>
      <c r="I622" s="61"/>
      <c r="J622" s="61"/>
      <c r="K622" s="61"/>
    </row>
    <row r="623">
      <c r="C623" s="61"/>
      <c r="H623" s="61"/>
      <c r="I623" s="61"/>
      <c r="J623" s="61"/>
      <c r="K623" s="61"/>
    </row>
    <row r="624">
      <c r="C624" s="61"/>
      <c r="H624" s="61"/>
      <c r="I624" s="61"/>
      <c r="J624" s="61"/>
      <c r="K624" s="61"/>
    </row>
    <row r="625">
      <c r="C625" s="61"/>
      <c r="H625" s="61"/>
      <c r="I625" s="61"/>
      <c r="J625" s="61"/>
      <c r="K625" s="61"/>
    </row>
    <row r="626">
      <c r="C626" s="61"/>
      <c r="H626" s="61"/>
      <c r="I626" s="61"/>
      <c r="J626" s="61"/>
      <c r="K626" s="61"/>
    </row>
    <row r="627">
      <c r="C627" s="61"/>
      <c r="H627" s="61"/>
      <c r="I627" s="61"/>
      <c r="J627" s="61"/>
      <c r="K627" s="61"/>
    </row>
    <row r="628">
      <c r="C628" s="61"/>
      <c r="H628" s="61"/>
      <c r="I628" s="61"/>
      <c r="J628" s="61"/>
      <c r="K628" s="61"/>
    </row>
    <row r="629">
      <c r="C629" s="61"/>
      <c r="H629" s="61"/>
      <c r="I629" s="61"/>
      <c r="J629" s="61"/>
      <c r="K629" s="61"/>
    </row>
    <row r="630">
      <c r="C630" s="61"/>
      <c r="H630" s="61"/>
      <c r="I630" s="61"/>
      <c r="J630" s="61"/>
      <c r="K630" s="61"/>
    </row>
    <row r="631">
      <c r="C631" s="61"/>
      <c r="H631" s="61"/>
      <c r="I631" s="61"/>
      <c r="J631" s="61"/>
      <c r="K631" s="61"/>
    </row>
    <row r="632">
      <c r="C632" s="61"/>
      <c r="H632" s="61"/>
      <c r="I632" s="61"/>
      <c r="J632" s="61"/>
      <c r="K632" s="61"/>
    </row>
    <row r="633">
      <c r="C633" s="61"/>
      <c r="H633" s="61"/>
      <c r="I633" s="61"/>
      <c r="J633" s="61"/>
      <c r="K633" s="61"/>
    </row>
    <row r="634">
      <c r="C634" s="61"/>
      <c r="H634" s="61"/>
      <c r="I634" s="61"/>
      <c r="J634" s="61"/>
      <c r="K634" s="61"/>
    </row>
    <row r="635">
      <c r="C635" s="61"/>
      <c r="H635" s="61"/>
      <c r="I635" s="61"/>
      <c r="J635" s="61"/>
      <c r="K635" s="61"/>
    </row>
    <row r="636">
      <c r="C636" s="61"/>
      <c r="H636" s="61"/>
      <c r="I636" s="61"/>
      <c r="J636" s="61"/>
      <c r="K636" s="61"/>
    </row>
    <row r="637">
      <c r="C637" s="61"/>
      <c r="H637" s="61"/>
      <c r="I637" s="61"/>
      <c r="J637" s="61"/>
      <c r="K637" s="61"/>
    </row>
    <row r="638">
      <c r="C638" s="61"/>
      <c r="H638" s="61"/>
      <c r="I638" s="61"/>
      <c r="J638" s="61"/>
      <c r="K638" s="61"/>
    </row>
    <row r="639">
      <c r="C639" s="61"/>
      <c r="H639" s="61"/>
      <c r="I639" s="61"/>
      <c r="J639" s="61"/>
      <c r="K639" s="61"/>
    </row>
    <row r="640">
      <c r="C640" s="61"/>
      <c r="H640" s="61"/>
      <c r="I640" s="61"/>
      <c r="J640" s="61"/>
      <c r="K640" s="61"/>
    </row>
    <row r="641">
      <c r="C641" s="61"/>
      <c r="H641" s="61"/>
      <c r="I641" s="61"/>
      <c r="J641" s="61"/>
      <c r="K641" s="61"/>
    </row>
    <row r="642">
      <c r="C642" s="61"/>
      <c r="H642" s="61"/>
      <c r="I642" s="61"/>
      <c r="J642" s="61"/>
      <c r="K642" s="61"/>
    </row>
    <row r="643">
      <c r="C643" s="61"/>
      <c r="H643" s="61"/>
      <c r="I643" s="61"/>
      <c r="J643" s="61"/>
      <c r="K643" s="61"/>
    </row>
    <row r="644">
      <c r="C644" s="61"/>
      <c r="H644" s="61"/>
      <c r="I644" s="61"/>
      <c r="J644" s="61"/>
      <c r="K644" s="61"/>
    </row>
    <row r="645">
      <c r="C645" s="61"/>
      <c r="H645" s="61"/>
      <c r="I645" s="61"/>
      <c r="J645" s="61"/>
      <c r="K645" s="61"/>
    </row>
    <row r="646">
      <c r="C646" s="61"/>
      <c r="H646" s="61"/>
      <c r="I646" s="61"/>
      <c r="J646" s="61"/>
      <c r="K646" s="61"/>
    </row>
    <row r="647">
      <c r="C647" s="61"/>
      <c r="H647" s="61"/>
      <c r="I647" s="61"/>
      <c r="J647" s="61"/>
      <c r="K647" s="61"/>
    </row>
    <row r="648">
      <c r="C648" s="61"/>
      <c r="H648" s="61"/>
      <c r="I648" s="61"/>
      <c r="J648" s="61"/>
      <c r="K648" s="61"/>
    </row>
    <row r="649">
      <c r="C649" s="61"/>
      <c r="H649" s="61"/>
      <c r="I649" s="61"/>
      <c r="J649" s="61"/>
      <c r="K649" s="61"/>
    </row>
    <row r="650">
      <c r="C650" s="61"/>
      <c r="H650" s="61"/>
      <c r="I650" s="61"/>
      <c r="J650" s="61"/>
      <c r="K650" s="61"/>
    </row>
    <row r="651">
      <c r="C651" s="61"/>
      <c r="H651" s="61"/>
      <c r="I651" s="61"/>
      <c r="J651" s="61"/>
      <c r="K651" s="61"/>
    </row>
    <row r="652">
      <c r="C652" s="61"/>
      <c r="H652" s="61"/>
      <c r="I652" s="61"/>
      <c r="J652" s="61"/>
      <c r="K652" s="61"/>
    </row>
    <row r="653">
      <c r="C653" s="61"/>
      <c r="H653" s="61"/>
      <c r="I653" s="61"/>
      <c r="J653" s="61"/>
      <c r="K653" s="61"/>
    </row>
    <row r="654">
      <c r="C654" s="61"/>
      <c r="H654" s="61"/>
      <c r="I654" s="61"/>
      <c r="J654" s="61"/>
      <c r="K654" s="61"/>
    </row>
    <row r="655">
      <c r="C655" s="61"/>
      <c r="H655" s="61"/>
      <c r="I655" s="61"/>
      <c r="J655" s="61"/>
      <c r="K655" s="61"/>
    </row>
    <row r="656">
      <c r="C656" s="61"/>
      <c r="H656" s="61"/>
      <c r="I656" s="61"/>
      <c r="J656" s="61"/>
      <c r="K656" s="61"/>
    </row>
    <row r="657">
      <c r="C657" s="61"/>
      <c r="H657" s="61"/>
      <c r="I657" s="61"/>
      <c r="J657" s="61"/>
      <c r="K657" s="61"/>
    </row>
    <row r="658">
      <c r="C658" s="61"/>
      <c r="H658" s="61"/>
      <c r="I658" s="61"/>
      <c r="J658" s="61"/>
      <c r="K658" s="61"/>
    </row>
    <row r="659">
      <c r="C659" s="61"/>
      <c r="H659" s="61"/>
      <c r="I659" s="61"/>
      <c r="J659" s="61"/>
      <c r="K659" s="61"/>
    </row>
    <row r="660">
      <c r="C660" s="61"/>
      <c r="H660" s="61"/>
      <c r="I660" s="61"/>
      <c r="J660" s="61"/>
      <c r="K660" s="61"/>
    </row>
    <row r="661">
      <c r="C661" s="61"/>
      <c r="H661" s="61"/>
      <c r="I661" s="61"/>
      <c r="J661" s="61"/>
      <c r="K661" s="61"/>
    </row>
    <row r="662">
      <c r="C662" s="61"/>
      <c r="H662" s="61"/>
      <c r="I662" s="61"/>
      <c r="J662" s="61"/>
      <c r="K662" s="61"/>
    </row>
    <row r="663">
      <c r="C663" s="61"/>
      <c r="H663" s="61"/>
      <c r="I663" s="61"/>
      <c r="J663" s="61"/>
      <c r="K663" s="61"/>
    </row>
    <row r="664">
      <c r="C664" s="61"/>
      <c r="H664" s="61"/>
      <c r="I664" s="61"/>
      <c r="J664" s="61"/>
      <c r="K664" s="61"/>
    </row>
    <row r="665">
      <c r="C665" s="61"/>
      <c r="H665" s="61"/>
      <c r="I665" s="61"/>
      <c r="J665" s="61"/>
      <c r="K665" s="61"/>
    </row>
    <row r="666">
      <c r="C666" s="61"/>
      <c r="H666" s="61"/>
      <c r="I666" s="61"/>
      <c r="J666" s="61"/>
      <c r="K666" s="61"/>
    </row>
    <row r="667">
      <c r="C667" s="61"/>
      <c r="H667" s="61"/>
      <c r="I667" s="61"/>
      <c r="J667" s="61"/>
      <c r="K667" s="61"/>
    </row>
    <row r="668">
      <c r="C668" s="61"/>
      <c r="H668" s="61"/>
      <c r="I668" s="61"/>
      <c r="J668" s="61"/>
      <c r="K668" s="61"/>
    </row>
    <row r="669">
      <c r="C669" s="61"/>
      <c r="H669" s="61"/>
      <c r="I669" s="61"/>
      <c r="J669" s="61"/>
      <c r="K669" s="61"/>
    </row>
    <row r="670">
      <c r="C670" s="61"/>
      <c r="H670" s="61"/>
      <c r="I670" s="61"/>
      <c r="J670" s="61"/>
      <c r="K670" s="61"/>
    </row>
    <row r="671">
      <c r="C671" s="61"/>
      <c r="H671" s="61"/>
      <c r="I671" s="61"/>
      <c r="J671" s="61"/>
      <c r="K671" s="61"/>
    </row>
    <row r="672">
      <c r="C672" s="61"/>
      <c r="H672" s="61"/>
      <c r="I672" s="61"/>
      <c r="J672" s="61"/>
      <c r="K672" s="61"/>
    </row>
    <row r="673">
      <c r="C673" s="61"/>
      <c r="H673" s="61"/>
      <c r="I673" s="61"/>
      <c r="J673" s="61"/>
      <c r="K673" s="61"/>
    </row>
    <row r="674">
      <c r="C674" s="61"/>
      <c r="H674" s="61"/>
      <c r="I674" s="61"/>
      <c r="J674" s="61"/>
      <c r="K674" s="61"/>
    </row>
    <row r="675">
      <c r="C675" s="61"/>
      <c r="H675" s="61"/>
      <c r="I675" s="61"/>
      <c r="J675" s="61"/>
      <c r="K675" s="61"/>
    </row>
    <row r="676">
      <c r="C676" s="61"/>
      <c r="H676" s="61"/>
      <c r="I676" s="61"/>
      <c r="J676" s="61"/>
      <c r="K676" s="61"/>
    </row>
    <row r="677">
      <c r="C677" s="61"/>
      <c r="H677" s="61"/>
      <c r="I677" s="61"/>
      <c r="J677" s="61"/>
      <c r="K677" s="61"/>
    </row>
    <row r="678">
      <c r="C678" s="61"/>
      <c r="H678" s="61"/>
      <c r="I678" s="61"/>
      <c r="J678" s="61"/>
      <c r="K678" s="61"/>
    </row>
    <row r="679">
      <c r="C679" s="61"/>
      <c r="H679" s="61"/>
      <c r="I679" s="61"/>
      <c r="J679" s="61"/>
      <c r="K679" s="61"/>
    </row>
    <row r="680">
      <c r="C680" s="61"/>
      <c r="H680" s="61"/>
      <c r="I680" s="61"/>
      <c r="J680" s="61"/>
      <c r="K680" s="61"/>
    </row>
    <row r="681">
      <c r="C681" s="61"/>
      <c r="H681" s="61"/>
      <c r="I681" s="61"/>
      <c r="J681" s="61"/>
      <c r="K681" s="61"/>
    </row>
    <row r="682">
      <c r="C682" s="61"/>
      <c r="H682" s="61"/>
      <c r="I682" s="61"/>
      <c r="J682" s="61"/>
      <c r="K682" s="61"/>
    </row>
    <row r="683">
      <c r="C683" s="61"/>
      <c r="H683" s="61"/>
      <c r="I683" s="61"/>
      <c r="J683" s="61"/>
      <c r="K683" s="61"/>
    </row>
    <row r="684">
      <c r="C684" s="61"/>
      <c r="H684" s="61"/>
      <c r="I684" s="61"/>
      <c r="J684" s="61"/>
      <c r="K684" s="61"/>
    </row>
    <row r="685">
      <c r="C685" s="61"/>
      <c r="H685" s="61"/>
      <c r="I685" s="61"/>
      <c r="J685" s="61"/>
      <c r="K685" s="61"/>
    </row>
    <row r="686">
      <c r="C686" s="61"/>
      <c r="H686" s="61"/>
      <c r="I686" s="61"/>
      <c r="J686" s="61"/>
      <c r="K686" s="61"/>
    </row>
    <row r="687">
      <c r="C687" s="61"/>
      <c r="H687" s="61"/>
      <c r="I687" s="61"/>
      <c r="J687" s="61"/>
      <c r="K687" s="61"/>
    </row>
    <row r="688">
      <c r="C688" s="61"/>
      <c r="H688" s="61"/>
      <c r="I688" s="61"/>
      <c r="J688" s="61"/>
      <c r="K688" s="61"/>
    </row>
    <row r="689">
      <c r="C689" s="61"/>
      <c r="H689" s="61"/>
      <c r="I689" s="61"/>
      <c r="J689" s="61"/>
      <c r="K689" s="61"/>
    </row>
    <row r="690">
      <c r="C690" s="61"/>
      <c r="H690" s="61"/>
      <c r="I690" s="61"/>
      <c r="J690" s="61"/>
      <c r="K690" s="61"/>
    </row>
    <row r="691">
      <c r="C691" s="61"/>
      <c r="H691" s="61"/>
      <c r="I691" s="61"/>
      <c r="J691" s="61"/>
      <c r="K691" s="61"/>
    </row>
    <row r="692">
      <c r="C692" s="61"/>
      <c r="H692" s="61"/>
      <c r="I692" s="61"/>
      <c r="J692" s="61"/>
      <c r="K692" s="61"/>
    </row>
    <row r="693">
      <c r="C693" s="61"/>
      <c r="H693" s="61"/>
      <c r="I693" s="61"/>
      <c r="J693" s="61"/>
      <c r="K693" s="61"/>
    </row>
    <row r="694">
      <c r="C694" s="61"/>
      <c r="H694" s="61"/>
      <c r="I694" s="61"/>
      <c r="J694" s="61"/>
      <c r="K694" s="61"/>
    </row>
    <row r="695">
      <c r="C695" s="61"/>
      <c r="H695" s="61"/>
      <c r="I695" s="61"/>
      <c r="J695" s="61"/>
      <c r="K695" s="61"/>
    </row>
    <row r="696">
      <c r="C696" s="61"/>
      <c r="H696" s="61"/>
      <c r="I696" s="61"/>
      <c r="J696" s="61"/>
      <c r="K696" s="61"/>
    </row>
    <row r="697">
      <c r="C697" s="61"/>
      <c r="H697" s="61"/>
      <c r="I697" s="61"/>
      <c r="J697" s="61"/>
      <c r="K697" s="61"/>
    </row>
    <row r="698">
      <c r="C698" s="61"/>
      <c r="H698" s="61"/>
      <c r="I698" s="61"/>
      <c r="J698" s="61"/>
      <c r="K698" s="61"/>
    </row>
    <row r="699">
      <c r="C699" s="61"/>
      <c r="H699" s="61"/>
      <c r="I699" s="61"/>
      <c r="J699" s="61"/>
      <c r="K699" s="61"/>
    </row>
    <row r="700">
      <c r="C700" s="61"/>
      <c r="H700" s="61"/>
      <c r="I700" s="61"/>
      <c r="J700" s="61"/>
      <c r="K700" s="61"/>
    </row>
    <row r="701">
      <c r="C701" s="61"/>
      <c r="H701" s="61"/>
      <c r="I701" s="61"/>
      <c r="J701" s="61"/>
      <c r="K701" s="61"/>
    </row>
    <row r="702">
      <c r="C702" s="61"/>
      <c r="H702" s="61"/>
      <c r="I702" s="61"/>
      <c r="J702" s="61"/>
      <c r="K702" s="61"/>
    </row>
    <row r="703">
      <c r="C703" s="61"/>
      <c r="H703" s="61"/>
      <c r="I703" s="61"/>
      <c r="J703" s="61"/>
      <c r="K703" s="61"/>
    </row>
    <row r="704">
      <c r="C704" s="61"/>
      <c r="H704" s="61"/>
      <c r="I704" s="61"/>
      <c r="J704" s="61"/>
      <c r="K704" s="61"/>
    </row>
    <row r="705">
      <c r="C705" s="61"/>
      <c r="H705" s="61"/>
      <c r="I705" s="61"/>
      <c r="J705" s="61"/>
      <c r="K705" s="61"/>
    </row>
    <row r="706">
      <c r="C706" s="61"/>
      <c r="H706" s="61"/>
      <c r="I706" s="61"/>
      <c r="J706" s="61"/>
      <c r="K706" s="61"/>
    </row>
    <row r="707">
      <c r="C707" s="61"/>
      <c r="H707" s="61"/>
      <c r="I707" s="61"/>
      <c r="J707" s="61"/>
      <c r="K707" s="61"/>
    </row>
    <row r="708">
      <c r="C708" s="61"/>
      <c r="H708" s="61"/>
      <c r="I708" s="61"/>
      <c r="J708" s="61"/>
      <c r="K708" s="61"/>
    </row>
    <row r="709">
      <c r="C709" s="61"/>
      <c r="H709" s="61"/>
      <c r="I709" s="61"/>
      <c r="J709" s="61"/>
      <c r="K709" s="61"/>
    </row>
    <row r="710">
      <c r="C710" s="61"/>
      <c r="H710" s="61"/>
      <c r="I710" s="61"/>
      <c r="J710" s="61"/>
      <c r="K710" s="61"/>
    </row>
    <row r="711">
      <c r="C711" s="61"/>
      <c r="H711" s="61"/>
      <c r="I711" s="61"/>
      <c r="J711" s="61"/>
      <c r="K711" s="61"/>
    </row>
    <row r="712">
      <c r="C712" s="61"/>
      <c r="H712" s="61"/>
      <c r="I712" s="61"/>
      <c r="J712" s="61"/>
      <c r="K712" s="61"/>
    </row>
    <row r="713">
      <c r="C713" s="61"/>
      <c r="H713" s="61"/>
      <c r="I713" s="61"/>
      <c r="J713" s="61"/>
      <c r="K713" s="61"/>
    </row>
    <row r="714">
      <c r="C714" s="61"/>
      <c r="H714" s="61"/>
      <c r="I714" s="61"/>
      <c r="J714" s="61"/>
      <c r="K714" s="61"/>
    </row>
    <row r="715">
      <c r="C715" s="61"/>
      <c r="H715" s="61"/>
      <c r="I715" s="61"/>
      <c r="J715" s="61"/>
      <c r="K715" s="61"/>
    </row>
    <row r="716">
      <c r="C716" s="61"/>
      <c r="H716" s="61"/>
      <c r="I716" s="61"/>
      <c r="J716" s="61"/>
      <c r="K716" s="61"/>
    </row>
    <row r="717">
      <c r="C717" s="61"/>
      <c r="H717" s="61"/>
      <c r="I717" s="61"/>
      <c r="J717" s="61"/>
      <c r="K717" s="61"/>
    </row>
    <row r="718">
      <c r="C718" s="61"/>
      <c r="H718" s="61"/>
      <c r="I718" s="61"/>
      <c r="J718" s="61"/>
      <c r="K718" s="61"/>
    </row>
    <row r="719">
      <c r="C719" s="61"/>
      <c r="H719" s="61"/>
      <c r="I719" s="61"/>
      <c r="J719" s="61"/>
      <c r="K719" s="61"/>
    </row>
    <row r="720">
      <c r="C720" s="61"/>
      <c r="H720" s="61"/>
      <c r="I720" s="61"/>
      <c r="J720" s="61"/>
      <c r="K720" s="61"/>
    </row>
    <row r="721">
      <c r="C721" s="61"/>
      <c r="H721" s="61"/>
      <c r="I721" s="61"/>
      <c r="J721" s="61"/>
      <c r="K721" s="61"/>
    </row>
    <row r="722">
      <c r="C722" s="61"/>
      <c r="H722" s="61"/>
      <c r="I722" s="61"/>
      <c r="J722" s="61"/>
      <c r="K722" s="61"/>
    </row>
    <row r="723">
      <c r="C723" s="61"/>
      <c r="H723" s="61"/>
      <c r="I723" s="61"/>
      <c r="J723" s="61"/>
      <c r="K723" s="61"/>
    </row>
    <row r="724">
      <c r="C724" s="61"/>
      <c r="H724" s="61"/>
      <c r="I724" s="61"/>
      <c r="J724" s="61"/>
      <c r="K724" s="61"/>
    </row>
    <row r="725">
      <c r="C725" s="61"/>
      <c r="H725" s="61"/>
      <c r="I725" s="61"/>
      <c r="J725" s="61"/>
      <c r="K725" s="61"/>
    </row>
    <row r="726">
      <c r="C726" s="61"/>
      <c r="H726" s="61"/>
      <c r="I726" s="61"/>
      <c r="J726" s="61"/>
      <c r="K726" s="61"/>
    </row>
    <row r="727">
      <c r="C727" s="61"/>
      <c r="H727" s="61"/>
      <c r="I727" s="61"/>
      <c r="J727" s="61"/>
      <c r="K727" s="61"/>
    </row>
    <row r="728">
      <c r="C728" s="61"/>
      <c r="H728" s="61"/>
      <c r="I728" s="61"/>
      <c r="J728" s="61"/>
      <c r="K728" s="61"/>
    </row>
    <row r="729">
      <c r="C729" s="61"/>
      <c r="H729" s="61"/>
      <c r="I729" s="61"/>
      <c r="J729" s="61"/>
      <c r="K729" s="61"/>
    </row>
    <row r="730">
      <c r="C730" s="61"/>
      <c r="H730" s="61"/>
      <c r="I730" s="61"/>
      <c r="J730" s="61"/>
      <c r="K730" s="61"/>
    </row>
    <row r="731">
      <c r="C731" s="61"/>
      <c r="H731" s="61"/>
      <c r="I731" s="61"/>
      <c r="J731" s="61"/>
      <c r="K731" s="61"/>
    </row>
    <row r="732">
      <c r="C732" s="61"/>
      <c r="H732" s="61"/>
      <c r="I732" s="61"/>
      <c r="J732" s="61"/>
      <c r="K732" s="61"/>
    </row>
    <row r="733">
      <c r="C733" s="61"/>
      <c r="H733" s="61"/>
      <c r="I733" s="61"/>
      <c r="J733" s="61"/>
      <c r="K733" s="61"/>
    </row>
    <row r="734">
      <c r="C734" s="61"/>
      <c r="H734" s="61"/>
      <c r="I734" s="61"/>
      <c r="J734" s="61"/>
      <c r="K734" s="61"/>
    </row>
    <row r="735">
      <c r="C735" s="61"/>
      <c r="H735" s="61"/>
      <c r="I735" s="61"/>
      <c r="J735" s="61"/>
      <c r="K735" s="61"/>
    </row>
    <row r="736">
      <c r="C736" s="61"/>
      <c r="H736" s="61"/>
      <c r="I736" s="61"/>
      <c r="J736" s="61"/>
      <c r="K736" s="61"/>
    </row>
    <row r="737">
      <c r="C737" s="61"/>
      <c r="H737" s="61"/>
      <c r="I737" s="61"/>
      <c r="J737" s="61"/>
      <c r="K737" s="61"/>
    </row>
    <row r="738">
      <c r="C738" s="61"/>
      <c r="H738" s="61"/>
      <c r="I738" s="61"/>
      <c r="J738" s="61"/>
      <c r="K738" s="61"/>
    </row>
    <row r="739">
      <c r="C739" s="61"/>
      <c r="H739" s="61"/>
      <c r="I739" s="61"/>
      <c r="J739" s="61"/>
      <c r="K739" s="61"/>
    </row>
    <row r="740">
      <c r="C740" s="61"/>
      <c r="H740" s="61"/>
      <c r="I740" s="61"/>
      <c r="J740" s="61"/>
      <c r="K740" s="61"/>
    </row>
    <row r="741">
      <c r="C741" s="61"/>
      <c r="H741" s="61"/>
      <c r="I741" s="61"/>
      <c r="J741" s="61"/>
      <c r="K741" s="61"/>
    </row>
    <row r="742">
      <c r="C742" s="61"/>
      <c r="H742" s="61"/>
      <c r="I742" s="61"/>
      <c r="J742" s="61"/>
      <c r="K742" s="61"/>
    </row>
    <row r="743">
      <c r="C743" s="61"/>
      <c r="H743" s="61"/>
      <c r="I743" s="61"/>
      <c r="J743" s="61"/>
      <c r="K743" s="61"/>
    </row>
    <row r="744">
      <c r="C744" s="61"/>
      <c r="H744" s="61"/>
      <c r="I744" s="61"/>
      <c r="J744" s="61"/>
      <c r="K744" s="61"/>
    </row>
    <row r="745">
      <c r="C745" s="61"/>
      <c r="H745" s="61"/>
      <c r="I745" s="61"/>
      <c r="J745" s="61"/>
      <c r="K745" s="61"/>
    </row>
    <row r="746">
      <c r="C746" s="61"/>
      <c r="H746" s="61"/>
      <c r="I746" s="61"/>
      <c r="J746" s="61"/>
      <c r="K746" s="61"/>
    </row>
    <row r="747">
      <c r="C747" s="61"/>
      <c r="H747" s="61"/>
      <c r="I747" s="61"/>
      <c r="J747" s="61"/>
      <c r="K747" s="61"/>
    </row>
    <row r="748">
      <c r="C748" s="61"/>
      <c r="H748" s="61"/>
      <c r="I748" s="61"/>
      <c r="J748" s="61"/>
      <c r="K748" s="61"/>
    </row>
    <row r="749">
      <c r="C749" s="61"/>
      <c r="H749" s="61"/>
      <c r="I749" s="61"/>
      <c r="J749" s="61"/>
      <c r="K749" s="61"/>
    </row>
    <row r="750">
      <c r="C750" s="61"/>
      <c r="H750" s="61"/>
      <c r="I750" s="61"/>
      <c r="J750" s="61"/>
      <c r="K750" s="61"/>
    </row>
    <row r="751">
      <c r="C751" s="61"/>
      <c r="H751" s="61"/>
      <c r="I751" s="61"/>
      <c r="J751" s="61"/>
      <c r="K751" s="61"/>
    </row>
    <row r="752">
      <c r="C752" s="61"/>
      <c r="H752" s="61"/>
      <c r="I752" s="61"/>
      <c r="J752" s="61"/>
      <c r="K752" s="61"/>
    </row>
    <row r="753">
      <c r="C753" s="61"/>
      <c r="H753" s="61"/>
      <c r="I753" s="61"/>
      <c r="J753" s="61"/>
      <c r="K753" s="61"/>
    </row>
    <row r="754">
      <c r="C754" s="61"/>
      <c r="H754" s="61"/>
      <c r="I754" s="61"/>
      <c r="J754" s="61"/>
      <c r="K754" s="61"/>
    </row>
    <row r="755">
      <c r="C755" s="61"/>
      <c r="H755" s="61"/>
      <c r="I755" s="61"/>
      <c r="J755" s="61"/>
      <c r="K755" s="61"/>
    </row>
    <row r="756">
      <c r="C756" s="61"/>
      <c r="H756" s="61"/>
      <c r="I756" s="61"/>
      <c r="J756" s="61"/>
      <c r="K756" s="61"/>
    </row>
    <row r="757">
      <c r="C757" s="61"/>
      <c r="H757" s="61"/>
      <c r="I757" s="61"/>
      <c r="J757" s="61"/>
      <c r="K757" s="61"/>
    </row>
    <row r="758">
      <c r="C758" s="61"/>
      <c r="H758" s="61"/>
      <c r="I758" s="61"/>
      <c r="J758" s="61"/>
      <c r="K758" s="61"/>
    </row>
    <row r="759">
      <c r="C759" s="61"/>
      <c r="H759" s="61"/>
      <c r="I759" s="61"/>
      <c r="J759" s="61"/>
      <c r="K759" s="61"/>
    </row>
    <row r="760">
      <c r="C760" s="61"/>
      <c r="H760" s="61"/>
      <c r="I760" s="61"/>
      <c r="J760" s="61"/>
      <c r="K760" s="61"/>
    </row>
    <row r="761">
      <c r="C761" s="61"/>
      <c r="H761" s="61"/>
      <c r="I761" s="61"/>
      <c r="J761" s="61"/>
      <c r="K761" s="61"/>
    </row>
    <row r="762">
      <c r="C762" s="61"/>
      <c r="H762" s="61"/>
      <c r="I762" s="61"/>
      <c r="J762" s="61"/>
      <c r="K762" s="61"/>
    </row>
    <row r="763">
      <c r="C763" s="61"/>
      <c r="H763" s="61"/>
      <c r="I763" s="61"/>
      <c r="J763" s="61"/>
      <c r="K763" s="61"/>
    </row>
    <row r="764">
      <c r="C764" s="61"/>
      <c r="H764" s="61"/>
      <c r="I764" s="61"/>
      <c r="J764" s="61"/>
      <c r="K764" s="61"/>
    </row>
    <row r="765">
      <c r="C765" s="61"/>
      <c r="H765" s="61"/>
      <c r="I765" s="61"/>
      <c r="J765" s="61"/>
      <c r="K765" s="61"/>
    </row>
    <row r="766">
      <c r="C766" s="61"/>
      <c r="H766" s="61"/>
      <c r="I766" s="61"/>
      <c r="J766" s="61"/>
      <c r="K766" s="61"/>
    </row>
    <row r="767">
      <c r="C767" s="61"/>
      <c r="H767" s="61"/>
      <c r="I767" s="61"/>
      <c r="J767" s="61"/>
      <c r="K767" s="61"/>
    </row>
    <row r="768">
      <c r="C768" s="61"/>
      <c r="H768" s="61"/>
      <c r="I768" s="61"/>
      <c r="J768" s="61"/>
      <c r="K768" s="61"/>
    </row>
    <row r="769">
      <c r="C769" s="61"/>
      <c r="H769" s="61"/>
      <c r="I769" s="61"/>
      <c r="J769" s="61"/>
      <c r="K769" s="61"/>
    </row>
    <row r="770">
      <c r="C770" s="61"/>
      <c r="H770" s="61"/>
      <c r="I770" s="61"/>
      <c r="J770" s="61"/>
      <c r="K770" s="61"/>
    </row>
    <row r="771">
      <c r="C771" s="61"/>
      <c r="H771" s="61"/>
      <c r="I771" s="61"/>
      <c r="J771" s="61"/>
      <c r="K771" s="61"/>
    </row>
    <row r="772">
      <c r="C772" s="61"/>
      <c r="H772" s="61"/>
      <c r="I772" s="61"/>
      <c r="J772" s="61"/>
      <c r="K772" s="61"/>
    </row>
    <row r="773">
      <c r="C773" s="61"/>
      <c r="H773" s="61"/>
      <c r="I773" s="61"/>
      <c r="J773" s="61"/>
      <c r="K773" s="61"/>
    </row>
    <row r="774">
      <c r="C774" s="61"/>
      <c r="H774" s="61"/>
      <c r="I774" s="61"/>
      <c r="J774" s="61"/>
      <c r="K774" s="61"/>
    </row>
    <row r="775">
      <c r="C775" s="61"/>
      <c r="H775" s="61"/>
      <c r="I775" s="61"/>
      <c r="J775" s="61"/>
      <c r="K775" s="61"/>
    </row>
    <row r="776">
      <c r="C776" s="61"/>
      <c r="H776" s="61"/>
      <c r="I776" s="61"/>
      <c r="J776" s="61"/>
      <c r="K776" s="61"/>
    </row>
    <row r="777">
      <c r="C777" s="61"/>
      <c r="H777" s="61"/>
      <c r="I777" s="61"/>
      <c r="J777" s="61"/>
      <c r="K777" s="61"/>
    </row>
    <row r="778">
      <c r="C778" s="61"/>
      <c r="H778" s="61"/>
      <c r="I778" s="61"/>
      <c r="J778" s="61"/>
      <c r="K778" s="61"/>
    </row>
    <row r="779">
      <c r="C779" s="61"/>
      <c r="H779" s="61"/>
      <c r="I779" s="61"/>
      <c r="J779" s="61"/>
      <c r="K779" s="61"/>
    </row>
    <row r="780">
      <c r="C780" s="61"/>
      <c r="H780" s="61"/>
      <c r="I780" s="61"/>
      <c r="J780" s="61"/>
      <c r="K780" s="61"/>
    </row>
    <row r="781">
      <c r="C781" s="61"/>
      <c r="H781" s="61"/>
      <c r="I781" s="61"/>
      <c r="J781" s="61"/>
      <c r="K781" s="61"/>
    </row>
    <row r="782">
      <c r="C782" s="61"/>
      <c r="H782" s="61"/>
      <c r="I782" s="61"/>
      <c r="J782" s="61"/>
      <c r="K782" s="61"/>
    </row>
    <row r="783">
      <c r="C783" s="61"/>
      <c r="H783" s="61"/>
      <c r="I783" s="61"/>
      <c r="J783" s="61"/>
      <c r="K783" s="61"/>
    </row>
    <row r="784">
      <c r="C784" s="61"/>
      <c r="H784" s="61"/>
      <c r="I784" s="61"/>
      <c r="J784" s="61"/>
      <c r="K784" s="61"/>
    </row>
    <row r="785">
      <c r="C785" s="61"/>
      <c r="H785" s="61"/>
      <c r="I785" s="61"/>
      <c r="J785" s="61"/>
      <c r="K785" s="61"/>
    </row>
    <row r="786">
      <c r="C786" s="61"/>
      <c r="H786" s="61"/>
      <c r="I786" s="61"/>
      <c r="J786" s="61"/>
      <c r="K786" s="61"/>
    </row>
    <row r="787">
      <c r="C787" s="61"/>
      <c r="H787" s="61"/>
      <c r="I787" s="61"/>
      <c r="J787" s="61"/>
      <c r="K787" s="61"/>
    </row>
    <row r="788">
      <c r="C788" s="61"/>
      <c r="H788" s="61"/>
      <c r="I788" s="61"/>
      <c r="J788" s="61"/>
      <c r="K788" s="61"/>
    </row>
    <row r="789">
      <c r="C789" s="61"/>
      <c r="H789" s="61"/>
      <c r="I789" s="61"/>
      <c r="J789" s="61"/>
      <c r="K789" s="61"/>
    </row>
    <row r="790">
      <c r="C790" s="61"/>
      <c r="H790" s="61"/>
      <c r="I790" s="61"/>
      <c r="J790" s="61"/>
      <c r="K790" s="61"/>
    </row>
    <row r="791">
      <c r="C791" s="61"/>
      <c r="H791" s="61"/>
      <c r="I791" s="61"/>
      <c r="J791" s="61"/>
      <c r="K791" s="61"/>
    </row>
    <row r="792">
      <c r="C792" s="61"/>
      <c r="H792" s="61"/>
      <c r="I792" s="61"/>
      <c r="J792" s="61"/>
      <c r="K792" s="61"/>
    </row>
    <row r="793">
      <c r="C793" s="61"/>
      <c r="H793" s="61"/>
      <c r="I793" s="61"/>
      <c r="J793" s="61"/>
      <c r="K793" s="61"/>
    </row>
    <row r="794">
      <c r="C794" s="61"/>
      <c r="H794" s="61"/>
      <c r="I794" s="61"/>
      <c r="J794" s="61"/>
      <c r="K794" s="61"/>
    </row>
    <row r="795">
      <c r="C795" s="61"/>
      <c r="H795" s="61"/>
      <c r="I795" s="61"/>
      <c r="J795" s="61"/>
      <c r="K795" s="61"/>
    </row>
    <row r="796">
      <c r="C796" s="61"/>
      <c r="H796" s="61"/>
      <c r="I796" s="61"/>
      <c r="J796" s="61"/>
      <c r="K796" s="61"/>
    </row>
    <row r="797">
      <c r="C797" s="61"/>
      <c r="H797" s="61"/>
      <c r="I797" s="61"/>
      <c r="J797" s="61"/>
      <c r="K797" s="61"/>
    </row>
    <row r="798">
      <c r="C798" s="61"/>
      <c r="H798" s="61"/>
      <c r="I798" s="61"/>
      <c r="J798" s="61"/>
      <c r="K798" s="61"/>
    </row>
    <row r="799">
      <c r="C799" s="61"/>
      <c r="H799" s="61"/>
      <c r="I799" s="61"/>
      <c r="J799" s="61"/>
      <c r="K799" s="61"/>
    </row>
    <row r="800">
      <c r="C800" s="61"/>
      <c r="H800" s="61"/>
      <c r="I800" s="61"/>
      <c r="J800" s="61"/>
      <c r="K800" s="61"/>
    </row>
    <row r="801">
      <c r="C801" s="61"/>
      <c r="H801" s="61"/>
      <c r="I801" s="61"/>
      <c r="J801" s="61"/>
      <c r="K801" s="61"/>
    </row>
    <row r="802">
      <c r="C802" s="61"/>
      <c r="H802" s="61"/>
      <c r="I802" s="61"/>
      <c r="J802" s="61"/>
      <c r="K802" s="61"/>
    </row>
    <row r="803">
      <c r="C803" s="61"/>
      <c r="H803" s="61"/>
      <c r="I803" s="61"/>
      <c r="J803" s="61"/>
      <c r="K803" s="61"/>
    </row>
    <row r="804">
      <c r="C804" s="61"/>
      <c r="H804" s="61"/>
      <c r="I804" s="61"/>
      <c r="J804" s="61"/>
      <c r="K804" s="61"/>
    </row>
    <row r="805">
      <c r="C805" s="61"/>
      <c r="H805" s="61"/>
      <c r="I805" s="61"/>
      <c r="J805" s="61"/>
      <c r="K805" s="61"/>
    </row>
    <row r="806">
      <c r="C806" s="61"/>
      <c r="H806" s="61"/>
      <c r="I806" s="61"/>
      <c r="J806" s="61"/>
      <c r="K806" s="61"/>
    </row>
    <row r="807">
      <c r="C807" s="61"/>
      <c r="H807" s="61"/>
      <c r="I807" s="61"/>
      <c r="J807" s="61"/>
      <c r="K807" s="61"/>
    </row>
    <row r="808">
      <c r="C808" s="61"/>
      <c r="H808" s="61"/>
      <c r="I808" s="61"/>
      <c r="J808" s="61"/>
      <c r="K808" s="61"/>
    </row>
    <row r="809">
      <c r="C809" s="61"/>
      <c r="H809" s="61"/>
      <c r="I809" s="61"/>
      <c r="J809" s="61"/>
      <c r="K809" s="61"/>
    </row>
    <row r="810">
      <c r="C810" s="61"/>
      <c r="H810" s="61"/>
      <c r="I810" s="61"/>
      <c r="J810" s="61"/>
      <c r="K810" s="61"/>
    </row>
    <row r="811">
      <c r="C811" s="61"/>
      <c r="H811" s="61"/>
      <c r="I811" s="61"/>
      <c r="J811" s="61"/>
      <c r="K811" s="61"/>
    </row>
    <row r="812">
      <c r="C812" s="61"/>
      <c r="H812" s="61"/>
      <c r="I812" s="61"/>
      <c r="J812" s="61"/>
      <c r="K812" s="61"/>
    </row>
    <row r="813">
      <c r="C813" s="61"/>
      <c r="H813" s="61"/>
      <c r="I813" s="61"/>
      <c r="J813" s="61"/>
      <c r="K813" s="61"/>
    </row>
    <row r="814">
      <c r="C814" s="61"/>
      <c r="H814" s="61"/>
      <c r="I814" s="61"/>
      <c r="J814" s="61"/>
      <c r="K814" s="61"/>
    </row>
    <row r="815">
      <c r="C815" s="61"/>
      <c r="H815" s="61"/>
      <c r="I815" s="61"/>
      <c r="J815" s="61"/>
      <c r="K815" s="61"/>
    </row>
    <row r="816">
      <c r="C816" s="61"/>
      <c r="H816" s="61"/>
      <c r="I816" s="61"/>
      <c r="J816" s="61"/>
      <c r="K816" s="61"/>
    </row>
    <row r="817">
      <c r="C817" s="61"/>
      <c r="H817" s="61"/>
      <c r="I817" s="61"/>
      <c r="J817" s="61"/>
      <c r="K817" s="61"/>
    </row>
    <row r="818">
      <c r="C818" s="61"/>
      <c r="H818" s="61"/>
      <c r="I818" s="61"/>
      <c r="J818" s="61"/>
      <c r="K818" s="61"/>
    </row>
    <row r="819">
      <c r="C819" s="61"/>
      <c r="H819" s="61"/>
      <c r="I819" s="61"/>
      <c r="J819" s="61"/>
      <c r="K819" s="61"/>
    </row>
    <row r="820">
      <c r="C820" s="61"/>
      <c r="H820" s="61"/>
      <c r="I820" s="61"/>
      <c r="J820" s="61"/>
      <c r="K820" s="61"/>
    </row>
    <row r="821">
      <c r="C821" s="61"/>
      <c r="H821" s="61"/>
      <c r="I821" s="61"/>
      <c r="J821" s="61"/>
      <c r="K821" s="61"/>
    </row>
    <row r="822">
      <c r="C822" s="61"/>
      <c r="H822" s="61"/>
      <c r="I822" s="61"/>
      <c r="J822" s="61"/>
      <c r="K822" s="61"/>
    </row>
    <row r="823">
      <c r="C823" s="61"/>
      <c r="H823" s="61"/>
      <c r="I823" s="61"/>
      <c r="J823" s="61"/>
      <c r="K823" s="61"/>
    </row>
    <row r="824">
      <c r="C824" s="61"/>
      <c r="H824" s="61"/>
      <c r="I824" s="61"/>
      <c r="J824" s="61"/>
      <c r="K824" s="61"/>
    </row>
    <row r="825">
      <c r="C825" s="61"/>
      <c r="H825" s="61"/>
      <c r="I825" s="61"/>
      <c r="J825" s="61"/>
      <c r="K825" s="61"/>
    </row>
    <row r="826">
      <c r="C826" s="61"/>
      <c r="H826" s="61"/>
      <c r="I826" s="61"/>
      <c r="J826" s="61"/>
      <c r="K826" s="61"/>
    </row>
    <row r="827">
      <c r="C827" s="61"/>
      <c r="H827" s="61"/>
      <c r="I827" s="61"/>
      <c r="J827" s="61"/>
      <c r="K827" s="61"/>
    </row>
    <row r="828">
      <c r="C828" s="61"/>
      <c r="H828" s="61"/>
      <c r="I828" s="61"/>
      <c r="J828" s="61"/>
      <c r="K828" s="61"/>
    </row>
    <row r="829">
      <c r="C829" s="61"/>
      <c r="H829" s="61"/>
      <c r="I829" s="61"/>
      <c r="J829" s="61"/>
      <c r="K829" s="61"/>
    </row>
    <row r="830">
      <c r="C830" s="61"/>
      <c r="H830" s="61"/>
      <c r="I830" s="61"/>
      <c r="J830" s="61"/>
      <c r="K830" s="61"/>
    </row>
    <row r="831">
      <c r="C831" s="61"/>
      <c r="H831" s="61"/>
      <c r="I831" s="61"/>
      <c r="J831" s="61"/>
      <c r="K831" s="61"/>
    </row>
    <row r="832">
      <c r="C832" s="61"/>
      <c r="H832" s="61"/>
      <c r="I832" s="61"/>
      <c r="J832" s="61"/>
      <c r="K832" s="61"/>
    </row>
    <row r="833">
      <c r="C833" s="61"/>
      <c r="H833" s="61"/>
      <c r="I833" s="61"/>
      <c r="J833" s="61"/>
      <c r="K833" s="61"/>
    </row>
    <row r="834">
      <c r="C834" s="61"/>
      <c r="H834" s="61"/>
      <c r="I834" s="61"/>
      <c r="J834" s="61"/>
      <c r="K834" s="61"/>
    </row>
    <row r="835">
      <c r="C835" s="61"/>
      <c r="H835" s="61"/>
      <c r="I835" s="61"/>
      <c r="J835" s="61"/>
      <c r="K835" s="61"/>
    </row>
    <row r="836">
      <c r="C836" s="61"/>
      <c r="H836" s="61"/>
      <c r="I836" s="61"/>
      <c r="J836" s="61"/>
      <c r="K836" s="61"/>
    </row>
    <row r="837">
      <c r="C837" s="61"/>
      <c r="H837" s="61"/>
      <c r="I837" s="61"/>
      <c r="J837" s="61"/>
      <c r="K837" s="61"/>
    </row>
    <row r="838">
      <c r="C838" s="61"/>
      <c r="H838" s="61"/>
      <c r="I838" s="61"/>
      <c r="J838" s="61"/>
      <c r="K838" s="61"/>
    </row>
    <row r="839">
      <c r="C839" s="61"/>
      <c r="H839" s="61"/>
      <c r="I839" s="61"/>
      <c r="J839" s="61"/>
      <c r="K839" s="61"/>
    </row>
    <row r="840">
      <c r="C840" s="61"/>
      <c r="H840" s="61"/>
      <c r="I840" s="61"/>
      <c r="J840" s="61"/>
      <c r="K840" s="61"/>
    </row>
    <row r="841">
      <c r="C841" s="61"/>
      <c r="H841" s="61"/>
      <c r="I841" s="61"/>
      <c r="J841" s="61"/>
      <c r="K841" s="61"/>
    </row>
    <row r="842">
      <c r="C842" s="61"/>
      <c r="H842" s="61"/>
      <c r="I842" s="61"/>
      <c r="J842" s="61"/>
      <c r="K842" s="61"/>
    </row>
    <row r="843">
      <c r="C843" s="61"/>
      <c r="H843" s="61"/>
      <c r="I843" s="61"/>
      <c r="J843" s="61"/>
      <c r="K843" s="61"/>
    </row>
    <row r="844">
      <c r="C844" s="61"/>
      <c r="H844" s="61"/>
      <c r="I844" s="61"/>
      <c r="J844" s="61"/>
      <c r="K844" s="61"/>
    </row>
    <row r="845">
      <c r="C845" s="61"/>
      <c r="H845" s="61"/>
      <c r="I845" s="61"/>
      <c r="J845" s="61"/>
      <c r="K845" s="61"/>
    </row>
    <row r="846">
      <c r="C846" s="61"/>
      <c r="H846" s="61"/>
      <c r="I846" s="61"/>
      <c r="J846" s="61"/>
      <c r="K846" s="61"/>
    </row>
    <row r="847">
      <c r="C847" s="61"/>
      <c r="H847" s="61"/>
      <c r="I847" s="61"/>
      <c r="J847" s="61"/>
      <c r="K847" s="61"/>
    </row>
    <row r="848">
      <c r="C848" s="61"/>
      <c r="H848" s="61"/>
      <c r="I848" s="61"/>
      <c r="J848" s="61"/>
      <c r="K848" s="61"/>
    </row>
    <row r="849">
      <c r="C849" s="61"/>
      <c r="H849" s="61"/>
      <c r="I849" s="61"/>
      <c r="J849" s="61"/>
      <c r="K849" s="61"/>
    </row>
    <row r="850">
      <c r="C850" s="61"/>
      <c r="H850" s="61"/>
      <c r="I850" s="61"/>
      <c r="J850" s="61"/>
      <c r="K850" s="61"/>
    </row>
    <row r="851">
      <c r="C851" s="61"/>
      <c r="H851" s="61"/>
      <c r="I851" s="61"/>
      <c r="J851" s="61"/>
      <c r="K851" s="61"/>
    </row>
    <row r="852">
      <c r="C852" s="61"/>
      <c r="H852" s="61"/>
      <c r="I852" s="61"/>
      <c r="J852" s="61"/>
      <c r="K852" s="61"/>
    </row>
    <row r="853">
      <c r="C853" s="61"/>
      <c r="H853" s="61"/>
      <c r="I853" s="61"/>
      <c r="J853" s="61"/>
      <c r="K853" s="61"/>
    </row>
    <row r="854">
      <c r="C854" s="61"/>
      <c r="H854" s="61"/>
      <c r="I854" s="61"/>
      <c r="J854" s="61"/>
      <c r="K854" s="61"/>
    </row>
    <row r="855">
      <c r="C855" s="61"/>
      <c r="H855" s="61"/>
      <c r="I855" s="61"/>
      <c r="J855" s="61"/>
      <c r="K855" s="61"/>
    </row>
    <row r="856">
      <c r="C856" s="61"/>
      <c r="H856" s="61"/>
      <c r="I856" s="61"/>
      <c r="J856" s="61"/>
      <c r="K856" s="61"/>
    </row>
    <row r="857">
      <c r="C857" s="61"/>
      <c r="H857" s="61"/>
      <c r="I857" s="61"/>
      <c r="J857" s="61"/>
      <c r="K857" s="61"/>
    </row>
    <row r="858">
      <c r="C858" s="61"/>
      <c r="H858" s="61"/>
      <c r="I858" s="61"/>
      <c r="J858" s="61"/>
      <c r="K858" s="61"/>
    </row>
    <row r="859">
      <c r="C859" s="61"/>
      <c r="H859" s="61"/>
      <c r="I859" s="61"/>
      <c r="J859" s="61"/>
      <c r="K859" s="61"/>
    </row>
    <row r="860">
      <c r="C860" s="61"/>
      <c r="H860" s="61"/>
      <c r="I860" s="61"/>
      <c r="J860" s="61"/>
      <c r="K860" s="61"/>
    </row>
    <row r="861">
      <c r="C861" s="61"/>
      <c r="H861" s="61"/>
      <c r="I861" s="61"/>
      <c r="J861" s="61"/>
      <c r="K861" s="61"/>
    </row>
    <row r="862">
      <c r="C862" s="61"/>
      <c r="H862" s="61"/>
      <c r="I862" s="61"/>
      <c r="J862" s="61"/>
      <c r="K862" s="61"/>
    </row>
    <row r="863">
      <c r="C863" s="61"/>
      <c r="H863" s="61"/>
      <c r="I863" s="61"/>
      <c r="J863" s="61"/>
      <c r="K863" s="61"/>
    </row>
    <row r="864">
      <c r="C864" s="61"/>
      <c r="H864" s="61"/>
      <c r="I864" s="61"/>
      <c r="J864" s="61"/>
      <c r="K864" s="61"/>
    </row>
    <row r="865">
      <c r="C865" s="61"/>
      <c r="H865" s="61"/>
      <c r="I865" s="61"/>
      <c r="J865" s="61"/>
      <c r="K865" s="61"/>
    </row>
    <row r="866">
      <c r="C866" s="61"/>
      <c r="H866" s="61"/>
      <c r="I866" s="61"/>
      <c r="J866" s="61"/>
      <c r="K866" s="61"/>
    </row>
    <row r="867">
      <c r="C867" s="61"/>
      <c r="H867" s="61"/>
      <c r="I867" s="61"/>
      <c r="J867" s="61"/>
      <c r="K867" s="61"/>
    </row>
    <row r="868">
      <c r="C868" s="61"/>
      <c r="H868" s="61"/>
      <c r="I868" s="61"/>
      <c r="J868" s="61"/>
      <c r="K868" s="61"/>
    </row>
    <row r="869">
      <c r="C869" s="61"/>
      <c r="H869" s="61"/>
      <c r="I869" s="61"/>
      <c r="J869" s="61"/>
      <c r="K869" s="61"/>
    </row>
    <row r="870">
      <c r="C870" s="61"/>
      <c r="H870" s="61"/>
      <c r="I870" s="61"/>
      <c r="J870" s="61"/>
      <c r="K870" s="61"/>
    </row>
    <row r="871">
      <c r="C871" s="61"/>
      <c r="H871" s="61"/>
      <c r="I871" s="61"/>
      <c r="J871" s="61"/>
      <c r="K871" s="61"/>
    </row>
    <row r="872">
      <c r="C872" s="61"/>
      <c r="H872" s="61"/>
      <c r="I872" s="61"/>
      <c r="J872" s="61"/>
      <c r="K872" s="61"/>
    </row>
    <row r="873">
      <c r="C873" s="61"/>
      <c r="H873" s="61"/>
      <c r="I873" s="61"/>
      <c r="J873" s="61"/>
      <c r="K873" s="61"/>
    </row>
    <row r="874">
      <c r="C874" s="61"/>
      <c r="H874" s="61"/>
      <c r="I874" s="61"/>
      <c r="J874" s="61"/>
      <c r="K874" s="61"/>
    </row>
    <row r="875">
      <c r="C875" s="61"/>
      <c r="H875" s="61"/>
      <c r="I875" s="61"/>
      <c r="J875" s="61"/>
      <c r="K875" s="61"/>
    </row>
    <row r="876">
      <c r="C876" s="61"/>
      <c r="H876" s="61"/>
      <c r="I876" s="61"/>
      <c r="J876" s="61"/>
      <c r="K876" s="61"/>
    </row>
    <row r="877">
      <c r="C877" s="61"/>
      <c r="H877" s="61"/>
      <c r="I877" s="61"/>
      <c r="J877" s="61"/>
      <c r="K877" s="61"/>
    </row>
    <row r="878">
      <c r="C878" s="61"/>
      <c r="H878" s="61"/>
      <c r="I878" s="61"/>
      <c r="J878" s="61"/>
      <c r="K878" s="61"/>
    </row>
    <row r="879">
      <c r="C879" s="61"/>
      <c r="H879" s="61"/>
      <c r="I879" s="61"/>
      <c r="J879" s="61"/>
      <c r="K879" s="61"/>
    </row>
    <row r="880">
      <c r="C880" s="61"/>
      <c r="H880" s="61"/>
      <c r="I880" s="61"/>
      <c r="J880" s="61"/>
      <c r="K880" s="61"/>
    </row>
    <row r="881">
      <c r="C881" s="61"/>
      <c r="H881" s="61"/>
      <c r="I881" s="61"/>
      <c r="J881" s="61"/>
      <c r="K881" s="61"/>
    </row>
    <row r="882">
      <c r="C882" s="61"/>
      <c r="H882" s="61"/>
      <c r="I882" s="61"/>
      <c r="J882" s="61"/>
      <c r="K882" s="61"/>
    </row>
    <row r="883">
      <c r="C883" s="61"/>
      <c r="H883" s="61"/>
      <c r="I883" s="61"/>
      <c r="J883" s="61"/>
      <c r="K883" s="61"/>
    </row>
    <row r="884">
      <c r="C884" s="61"/>
      <c r="H884" s="61"/>
      <c r="I884" s="61"/>
      <c r="J884" s="61"/>
      <c r="K884" s="61"/>
    </row>
    <row r="885">
      <c r="C885" s="61"/>
      <c r="H885" s="61"/>
      <c r="I885" s="61"/>
      <c r="J885" s="61"/>
      <c r="K885" s="61"/>
    </row>
    <row r="886">
      <c r="C886" s="61"/>
      <c r="H886" s="61"/>
      <c r="I886" s="61"/>
      <c r="J886" s="61"/>
      <c r="K886" s="61"/>
    </row>
    <row r="887">
      <c r="C887" s="61"/>
      <c r="H887" s="61"/>
      <c r="I887" s="61"/>
      <c r="J887" s="61"/>
      <c r="K887" s="61"/>
    </row>
    <row r="888">
      <c r="C888" s="61"/>
      <c r="H888" s="61"/>
      <c r="I888" s="61"/>
      <c r="J888" s="61"/>
      <c r="K888" s="61"/>
    </row>
    <row r="889">
      <c r="C889" s="61"/>
      <c r="H889" s="61"/>
      <c r="I889" s="61"/>
      <c r="J889" s="61"/>
      <c r="K889" s="61"/>
    </row>
    <row r="890">
      <c r="C890" s="61"/>
      <c r="H890" s="61"/>
      <c r="I890" s="61"/>
      <c r="J890" s="61"/>
      <c r="K890" s="61"/>
    </row>
    <row r="891">
      <c r="C891" s="61"/>
      <c r="H891" s="61"/>
      <c r="I891" s="61"/>
      <c r="J891" s="61"/>
      <c r="K891" s="61"/>
    </row>
    <row r="892">
      <c r="C892" s="61"/>
      <c r="H892" s="61"/>
      <c r="I892" s="61"/>
      <c r="J892" s="61"/>
      <c r="K892" s="61"/>
    </row>
    <row r="893">
      <c r="C893" s="61"/>
      <c r="H893" s="61"/>
      <c r="I893" s="61"/>
      <c r="J893" s="61"/>
      <c r="K893" s="61"/>
    </row>
    <row r="894">
      <c r="C894" s="61"/>
      <c r="H894" s="61"/>
      <c r="I894" s="61"/>
      <c r="J894" s="61"/>
      <c r="K894" s="61"/>
    </row>
    <row r="895">
      <c r="C895" s="61"/>
      <c r="H895" s="61"/>
      <c r="I895" s="61"/>
      <c r="J895" s="61"/>
      <c r="K895" s="61"/>
    </row>
    <row r="896">
      <c r="C896" s="61"/>
      <c r="H896" s="61"/>
      <c r="I896" s="61"/>
      <c r="J896" s="61"/>
      <c r="K896" s="61"/>
    </row>
    <row r="897">
      <c r="C897" s="61"/>
      <c r="H897" s="61"/>
      <c r="I897" s="61"/>
      <c r="J897" s="61"/>
      <c r="K897" s="61"/>
    </row>
    <row r="898">
      <c r="C898" s="61"/>
      <c r="H898" s="61"/>
      <c r="I898" s="61"/>
      <c r="J898" s="61"/>
      <c r="K898" s="61"/>
    </row>
    <row r="899">
      <c r="C899" s="61"/>
      <c r="H899" s="61"/>
      <c r="I899" s="61"/>
      <c r="J899" s="61"/>
      <c r="K899" s="61"/>
    </row>
    <row r="900">
      <c r="C900" s="61"/>
      <c r="H900" s="61"/>
      <c r="I900" s="61"/>
      <c r="J900" s="61"/>
      <c r="K900" s="61"/>
    </row>
    <row r="901">
      <c r="C901" s="61"/>
      <c r="H901" s="61"/>
      <c r="I901" s="61"/>
      <c r="J901" s="61"/>
      <c r="K901" s="61"/>
    </row>
    <row r="902">
      <c r="C902" s="61"/>
      <c r="H902" s="61"/>
      <c r="I902" s="61"/>
      <c r="J902" s="61"/>
      <c r="K902" s="61"/>
    </row>
    <row r="903">
      <c r="C903" s="61"/>
      <c r="H903" s="61"/>
      <c r="I903" s="61"/>
      <c r="J903" s="61"/>
      <c r="K903" s="61"/>
    </row>
    <row r="904">
      <c r="C904" s="61"/>
      <c r="H904" s="61"/>
      <c r="I904" s="61"/>
      <c r="J904" s="61"/>
      <c r="K904" s="61"/>
    </row>
    <row r="905">
      <c r="C905" s="61"/>
      <c r="H905" s="61"/>
      <c r="I905" s="61"/>
      <c r="J905" s="61"/>
      <c r="K905" s="61"/>
    </row>
    <row r="906">
      <c r="C906" s="61"/>
      <c r="H906" s="61"/>
      <c r="I906" s="61"/>
      <c r="J906" s="61"/>
      <c r="K906" s="61"/>
    </row>
    <row r="907">
      <c r="C907" s="61"/>
      <c r="H907" s="61"/>
      <c r="I907" s="61"/>
      <c r="J907" s="61"/>
      <c r="K907" s="61"/>
    </row>
    <row r="908">
      <c r="C908" s="61"/>
      <c r="H908" s="61"/>
      <c r="I908" s="61"/>
      <c r="J908" s="61"/>
      <c r="K908" s="61"/>
    </row>
    <row r="909">
      <c r="C909" s="61"/>
      <c r="H909" s="61"/>
      <c r="I909" s="61"/>
      <c r="J909" s="61"/>
      <c r="K909" s="61"/>
    </row>
    <row r="910">
      <c r="C910" s="61"/>
      <c r="H910" s="61"/>
      <c r="I910" s="61"/>
      <c r="J910" s="61"/>
      <c r="K910" s="61"/>
    </row>
    <row r="911">
      <c r="C911" s="61"/>
      <c r="H911" s="61"/>
      <c r="I911" s="61"/>
      <c r="J911" s="61"/>
      <c r="K911" s="61"/>
    </row>
    <row r="912">
      <c r="C912" s="61"/>
      <c r="H912" s="61"/>
      <c r="I912" s="61"/>
      <c r="J912" s="61"/>
      <c r="K912" s="61"/>
    </row>
    <row r="913">
      <c r="C913" s="61"/>
      <c r="H913" s="61"/>
      <c r="I913" s="61"/>
      <c r="J913" s="61"/>
      <c r="K913" s="61"/>
    </row>
    <row r="914">
      <c r="C914" s="61"/>
      <c r="H914" s="61"/>
      <c r="I914" s="61"/>
      <c r="J914" s="61"/>
      <c r="K914" s="61"/>
    </row>
    <row r="915">
      <c r="C915" s="61"/>
      <c r="H915" s="61"/>
      <c r="I915" s="61"/>
      <c r="J915" s="61"/>
      <c r="K915" s="61"/>
    </row>
    <row r="916">
      <c r="C916" s="61"/>
      <c r="H916" s="61"/>
      <c r="I916" s="61"/>
      <c r="J916" s="61"/>
      <c r="K916" s="61"/>
    </row>
    <row r="917">
      <c r="C917" s="61"/>
      <c r="H917" s="61"/>
      <c r="I917" s="61"/>
      <c r="J917" s="61"/>
      <c r="K917" s="61"/>
    </row>
    <row r="918">
      <c r="C918" s="61"/>
      <c r="H918" s="61"/>
      <c r="I918" s="61"/>
      <c r="J918" s="61"/>
      <c r="K918" s="61"/>
    </row>
    <row r="919">
      <c r="C919" s="61"/>
      <c r="H919" s="61"/>
      <c r="I919" s="61"/>
      <c r="J919" s="61"/>
      <c r="K919" s="61"/>
    </row>
    <row r="920">
      <c r="C920" s="61"/>
      <c r="H920" s="61"/>
      <c r="I920" s="61"/>
      <c r="J920" s="61"/>
      <c r="K920" s="61"/>
    </row>
    <row r="921">
      <c r="C921" s="61"/>
      <c r="H921" s="61"/>
      <c r="I921" s="61"/>
      <c r="J921" s="61"/>
      <c r="K921" s="61"/>
    </row>
    <row r="922">
      <c r="C922" s="61"/>
      <c r="H922" s="61"/>
      <c r="I922" s="61"/>
      <c r="J922" s="61"/>
      <c r="K922" s="61"/>
    </row>
    <row r="923">
      <c r="C923" s="61"/>
      <c r="H923" s="61"/>
      <c r="I923" s="61"/>
      <c r="J923" s="61"/>
      <c r="K923" s="61"/>
    </row>
    <row r="924">
      <c r="C924" s="61"/>
      <c r="H924" s="61"/>
      <c r="I924" s="61"/>
      <c r="J924" s="61"/>
      <c r="K924" s="61"/>
    </row>
    <row r="925">
      <c r="C925" s="61"/>
      <c r="H925" s="61"/>
      <c r="I925" s="61"/>
      <c r="J925" s="61"/>
      <c r="K925" s="61"/>
    </row>
    <row r="926">
      <c r="C926" s="61"/>
      <c r="H926" s="61"/>
      <c r="I926" s="61"/>
      <c r="J926" s="61"/>
      <c r="K926" s="61"/>
    </row>
    <row r="927">
      <c r="C927" s="61"/>
      <c r="H927" s="61"/>
      <c r="I927" s="61"/>
      <c r="J927" s="61"/>
      <c r="K927" s="61"/>
    </row>
    <row r="928">
      <c r="C928" s="61"/>
      <c r="H928" s="61"/>
      <c r="I928" s="61"/>
      <c r="J928" s="61"/>
      <c r="K928" s="61"/>
    </row>
    <row r="929">
      <c r="C929" s="61"/>
      <c r="H929" s="61"/>
      <c r="I929" s="61"/>
      <c r="J929" s="61"/>
      <c r="K929" s="61"/>
    </row>
    <row r="930">
      <c r="C930" s="61"/>
      <c r="H930" s="61"/>
      <c r="I930" s="61"/>
      <c r="J930" s="61"/>
      <c r="K930" s="61"/>
    </row>
    <row r="931">
      <c r="C931" s="61"/>
      <c r="H931" s="61"/>
      <c r="I931" s="61"/>
      <c r="J931" s="61"/>
      <c r="K931" s="61"/>
    </row>
    <row r="932">
      <c r="C932" s="61"/>
      <c r="H932" s="61"/>
      <c r="I932" s="61"/>
      <c r="J932" s="61"/>
      <c r="K932" s="61"/>
    </row>
    <row r="933">
      <c r="C933" s="61"/>
      <c r="H933" s="61"/>
      <c r="I933" s="61"/>
      <c r="J933" s="61"/>
      <c r="K933" s="61"/>
    </row>
    <row r="934">
      <c r="C934" s="61"/>
      <c r="H934" s="61"/>
      <c r="I934" s="61"/>
      <c r="J934" s="61"/>
      <c r="K934" s="61"/>
    </row>
    <row r="935">
      <c r="C935" s="61"/>
      <c r="H935" s="61"/>
      <c r="I935" s="61"/>
      <c r="J935" s="61"/>
      <c r="K935" s="61"/>
    </row>
    <row r="936">
      <c r="C936" s="61"/>
      <c r="H936" s="61"/>
      <c r="I936" s="61"/>
      <c r="J936" s="61"/>
      <c r="K936" s="61"/>
    </row>
    <row r="937">
      <c r="C937" s="61"/>
      <c r="H937" s="61"/>
      <c r="I937" s="61"/>
      <c r="J937" s="61"/>
      <c r="K937" s="61"/>
    </row>
    <row r="938">
      <c r="C938" s="61"/>
      <c r="H938" s="61"/>
      <c r="I938" s="61"/>
      <c r="J938" s="61"/>
      <c r="K938" s="61"/>
    </row>
    <row r="939">
      <c r="C939" s="61"/>
      <c r="H939" s="61"/>
      <c r="I939" s="61"/>
      <c r="J939" s="61"/>
      <c r="K939" s="61"/>
    </row>
    <row r="940">
      <c r="C940" s="61"/>
      <c r="H940" s="61"/>
      <c r="I940" s="61"/>
      <c r="J940" s="61"/>
      <c r="K940" s="61"/>
    </row>
    <row r="941">
      <c r="C941" s="61"/>
      <c r="H941" s="61"/>
      <c r="I941" s="61"/>
      <c r="J941" s="61"/>
      <c r="K941" s="61"/>
    </row>
    <row r="942">
      <c r="C942" s="61"/>
      <c r="H942" s="61"/>
      <c r="I942" s="61"/>
      <c r="J942" s="61"/>
      <c r="K942" s="61"/>
    </row>
    <row r="943">
      <c r="C943" s="61"/>
      <c r="H943" s="61"/>
      <c r="I943" s="61"/>
      <c r="J943" s="61"/>
      <c r="K943" s="61"/>
    </row>
    <row r="944">
      <c r="C944" s="61"/>
      <c r="H944" s="61"/>
      <c r="I944" s="61"/>
      <c r="J944" s="61"/>
      <c r="K944" s="61"/>
    </row>
    <row r="945">
      <c r="C945" s="61"/>
      <c r="H945" s="61"/>
      <c r="I945" s="61"/>
      <c r="J945" s="61"/>
      <c r="K945" s="61"/>
    </row>
    <row r="946">
      <c r="C946" s="61"/>
      <c r="H946" s="61"/>
      <c r="I946" s="61"/>
      <c r="J946" s="61"/>
      <c r="K946" s="61"/>
    </row>
    <row r="947">
      <c r="C947" s="61"/>
      <c r="H947" s="61"/>
      <c r="I947" s="61"/>
      <c r="J947" s="61"/>
      <c r="K947" s="61"/>
    </row>
    <row r="948">
      <c r="C948" s="61"/>
      <c r="H948" s="61"/>
      <c r="I948" s="61"/>
      <c r="J948" s="61"/>
      <c r="K948" s="61"/>
    </row>
    <row r="949">
      <c r="C949" s="61"/>
      <c r="H949" s="61"/>
      <c r="I949" s="61"/>
      <c r="J949" s="61"/>
      <c r="K949" s="61"/>
    </row>
    <row r="950">
      <c r="C950" s="61"/>
      <c r="H950" s="61"/>
      <c r="I950" s="61"/>
      <c r="J950" s="61"/>
      <c r="K950" s="61"/>
    </row>
    <row r="951">
      <c r="C951" s="61"/>
      <c r="H951" s="61"/>
      <c r="I951" s="61"/>
      <c r="J951" s="61"/>
      <c r="K951" s="61"/>
    </row>
    <row r="952">
      <c r="C952" s="61"/>
      <c r="H952" s="61"/>
      <c r="I952" s="61"/>
      <c r="J952" s="61"/>
      <c r="K952" s="61"/>
    </row>
    <row r="953">
      <c r="C953" s="61"/>
      <c r="H953" s="61"/>
      <c r="I953" s="61"/>
      <c r="J953" s="61"/>
      <c r="K953" s="61"/>
    </row>
    <row r="954">
      <c r="C954" s="61"/>
      <c r="H954" s="61"/>
      <c r="I954" s="61"/>
      <c r="J954" s="61"/>
      <c r="K954" s="61"/>
    </row>
    <row r="955">
      <c r="C955" s="61"/>
      <c r="H955" s="61"/>
      <c r="I955" s="61"/>
      <c r="J955" s="61"/>
      <c r="K955" s="61"/>
    </row>
    <row r="956">
      <c r="C956" s="61"/>
      <c r="H956" s="61"/>
      <c r="I956" s="61"/>
      <c r="J956" s="61"/>
      <c r="K956" s="61"/>
    </row>
    <row r="957">
      <c r="C957" s="61"/>
      <c r="H957" s="61"/>
      <c r="I957" s="61"/>
      <c r="J957" s="61"/>
      <c r="K957" s="61"/>
    </row>
    <row r="958">
      <c r="C958" s="61"/>
      <c r="H958" s="61"/>
      <c r="I958" s="61"/>
      <c r="J958" s="61"/>
      <c r="K958" s="61"/>
    </row>
    <row r="959">
      <c r="C959" s="61"/>
      <c r="H959" s="61"/>
      <c r="I959" s="61"/>
      <c r="J959" s="61"/>
      <c r="K959" s="61"/>
    </row>
    <row r="960">
      <c r="C960" s="61"/>
      <c r="H960" s="61"/>
      <c r="I960" s="61"/>
      <c r="J960" s="61"/>
      <c r="K960" s="61"/>
    </row>
    <row r="961">
      <c r="C961" s="61"/>
      <c r="H961" s="61"/>
      <c r="I961" s="61"/>
      <c r="J961" s="61"/>
      <c r="K961" s="61"/>
    </row>
    <row r="962">
      <c r="C962" s="61"/>
      <c r="H962" s="61"/>
      <c r="I962" s="61"/>
      <c r="J962" s="61"/>
      <c r="K962" s="61"/>
    </row>
    <row r="963">
      <c r="C963" s="61"/>
      <c r="H963" s="61"/>
      <c r="I963" s="61"/>
      <c r="J963" s="61"/>
      <c r="K963" s="61"/>
    </row>
    <row r="964">
      <c r="C964" s="61"/>
      <c r="H964" s="61"/>
      <c r="I964" s="61"/>
      <c r="J964" s="61"/>
      <c r="K964" s="61"/>
    </row>
    <row r="965">
      <c r="C965" s="61"/>
      <c r="H965" s="61"/>
      <c r="I965" s="61"/>
      <c r="J965" s="61"/>
      <c r="K965" s="61"/>
    </row>
    <row r="966">
      <c r="C966" s="61"/>
      <c r="H966" s="61"/>
      <c r="I966" s="61"/>
      <c r="J966" s="61"/>
      <c r="K966" s="61"/>
    </row>
    <row r="967">
      <c r="C967" s="61"/>
      <c r="H967" s="61"/>
      <c r="I967" s="61"/>
      <c r="J967" s="61"/>
      <c r="K967" s="61"/>
    </row>
    <row r="968">
      <c r="C968" s="61"/>
      <c r="H968" s="61"/>
      <c r="I968" s="61"/>
      <c r="J968" s="61"/>
      <c r="K968" s="61"/>
    </row>
    <row r="969">
      <c r="C969" s="61"/>
      <c r="H969" s="61"/>
      <c r="I969" s="61"/>
      <c r="J969" s="61"/>
      <c r="K969" s="61"/>
    </row>
    <row r="970">
      <c r="C970" s="61"/>
      <c r="H970" s="61"/>
      <c r="I970" s="61"/>
      <c r="J970" s="61"/>
      <c r="K970" s="61"/>
    </row>
    <row r="971">
      <c r="C971" s="61"/>
      <c r="H971" s="61"/>
      <c r="I971" s="61"/>
      <c r="J971" s="61"/>
      <c r="K971" s="61"/>
    </row>
    <row r="972">
      <c r="C972" s="61"/>
      <c r="H972" s="61"/>
      <c r="I972" s="61"/>
      <c r="J972" s="61"/>
      <c r="K972" s="61"/>
    </row>
    <row r="973">
      <c r="C973" s="61"/>
      <c r="H973" s="61"/>
      <c r="I973" s="61"/>
      <c r="J973" s="61"/>
      <c r="K973" s="61"/>
    </row>
    <row r="974">
      <c r="C974" s="61"/>
      <c r="H974" s="61"/>
      <c r="I974" s="61"/>
      <c r="J974" s="61"/>
      <c r="K974" s="61"/>
    </row>
    <row r="975">
      <c r="C975" s="61"/>
      <c r="H975" s="61"/>
      <c r="I975" s="61"/>
      <c r="J975" s="61"/>
      <c r="K975" s="61"/>
    </row>
    <row r="976">
      <c r="C976" s="61"/>
      <c r="H976" s="61"/>
      <c r="I976" s="61"/>
      <c r="J976" s="61"/>
      <c r="K976" s="61"/>
    </row>
    <row r="977">
      <c r="C977" s="61"/>
      <c r="H977" s="61"/>
      <c r="I977" s="61"/>
      <c r="J977" s="61"/>
      <c r="K977" s="61"/>
    </row>
    <row r="978">
      <c r="C978" s="61"/>
      <c r="H978" s="61"/>
      <c r="I978" s="61"/>
      <c r="J978" s="61"/>
      <c r="K978" s="61"/>
    </row>
    <row r="979">
      <c r="C979" s="61"/>
      <c r="H979" s="61"/>
      <c r="I979" s="61"/>
      <c r="J979" s="61"/>
      <c r="K979" s="61"/>
    </row>
    <row r="980">
      <c r="C980" s="61"/>
      <c r="H980" s="61"/>
      <c r="I980" s="61"/>
      <c r="J980" s="61"/>
      <c r="K980" s="61"/>
    </row>
    <row r="981">
      <c r="C981" s="61"/>
      <c r="H981" s="61"/>
      <c r="I981" s="61"/>
      <c r="J981" s="61"/>
      <c r="K981" s="61"/>
    </row>
    <row r="982">
      <c r="C982" s="61"/>
      <c r="H982" s="61"/>
      <c r="I982" s="61"/>
      <c r="J982" s="61"/>
      <c r="K982" s="61"/>
    </row>
    <row r="983">
      <c r="C983" s="61"/>
      <c r="H983" s="61"/>
      <c r="I983" s="61"/>
      <c r="J983" s="61"/>
      <c r="K983" s="61"/>
    </row>
    <row r="984">
      <c r="C984" s="61"/>
      <c r="H984" s="61"/>
      <c r="I984" s="61"/>
      <c r="J984" s="61"/>
      <c r="K984" s="61"/>
    </row>
    <row r="985">
      <c r="C985" s="61"/>
      <c r="H985" s="61"/>
      <c r="I985" s="61"/>
      <c r="J985" s="61"/>
      <c r="K985" s="61"/>
    </row>
    <row r="986">
      <c r="C986" s="61"/>
      <c r="H986" s="61"/>
      <c r="I986" s="61"/>
      <c r="J986" s="61"/>
      <c r="K986" s="61"/>
    </row>
    <row r="987">
      <c r="C987" s="61"/>
      <c r="H987" s="61"/>
      <c r="I987" s="61"/>
      <c r="J987" s="61"/>
      <c r="K987" s="61"/>
    </row>
    <row r="988">
      <c r="C988" s="61"/>
      <c r="H988" s="61"/>
      <c r="I988" s="61"/>
      <c r="J988" s="61"/>
      <c r="K988" s="61"/>
    </row>
    <row r="989">
      <c r="C989" s="61"/>
      <c r="H989" s="61"/>
      <c r="I989" s="61"/>
      <c r="J989" s="61"/>
      <c r="K989" s="61"/>
    </row>
    <row r="990">
      <c r="C990" s="61"/>
      <c r="H990" s="61"/>
      <c r="I990" s="61"/>
      <c r="J990" s="61"/>
      <c r="K990" s="61"/>
    </row>
    <row r="991">
      <c r="C991" s="61"/>
      <c r="H991" s="61"/>
      <c r="I991" s="61"/>
      <c r="J991" s="61"/>
      <c r="K991" s="61"/>
    </row>
    <row r="992">
      <c r="C992" s="61"/>
      <c r="H992" s="61"/>
      <c r="I992" s="61"/>
      <c r="J992" s="61"/>
      <c r="K992" s="61"/>
    </row>
    <row r="993">
      <c r="C993" s="61"/>
      <c r="H993" s="61"/>
      <c r="I993" s="61"/>
      <c r="J993" s="61"/>
      <c r="K993" s="61"/>
    </row>
    <row r="994">
      <c r="C994" s="61"/>
      <c r="H994" s="61"/>
      <c r="I994" s="61"/>
      <c r="J994" s="61"/>
      <c r="K994" s="61"/>
    </row>
    <row r="995">
      <c r="C995" s="61"/>
      <c r="H995" s="61"/>
      <c r="I995" s="61"/>
      <c r="J995" s="61"/>
      <c r="K995" s="61"/>
    </row>
    <row r="996">
      <c r="C996" s="61"/>
      <c r="H996" s="61"/>
      <c r="I996" s="61"/>
      <c r="J996" s="61"/>
      <c r="K996" s="61"/>
    </row>
    <row r="997">
      <c r="C997" s="61"/>
      <c r="H997" s="61"/>
      <c r="I997" s="61"/>
      <c r="J997" s="61"/>
      <c r="K997" s="61"/>
    </row>
    <row r="998">
      <c r="C998" s="61"/>
      <c r="H998" s="61"/>
      <c r="I998" s="61"/>
      <c r="J998" s="61"/>
      <c r="K998" s="61"/>
    </row>
    <row r="999">
      <c r="C999" s="61"/>
      <c r="H999" s="61"/>
      <c r="I999" s="61"/>
      <c r="J999" s="61"/>
      <c r="K999" s="61"/>
    </row>
    <row r="1000">
      <c r="C1000" s="61"/>
      <c r="H1000" s="61"/>
      <c r="I1000" s="61"/>
      <c r="J1000" s="61"/>
      <c r="K1000" s="61"/>
    </row>
    <row r="1001">
      <c r="C1001" s="61"/>
      <c r="H1001" s="61"/>
      <c r="I1001" s="61"/>
      <c r="J1001" s="61"/>
      <c r="K1001" s="61"/>
    </row>
    <row r="1002">
      <c r="C1002" s="61"/>
      <c r="H1002" s="61"/>
      <c r="I1002" s="61"/>
      <c r="J1002" s="61"/>
      <c r="K1002" s="61"/>
    </row>
    <row r="1003">
      <c r="C1003" s="61"/>
      <c r="H1003" s="61"/>
      <c r="I1003" s="61"/>
      <c r="J1003" s="61"/>
      <c r="K1003" s="61"/>
    </row>
    <row r="1004">
      <c r="C1004" s="61"/>
      <c r="H1004" s="61"/>
      <c r="I1004" s="61"/>
      <c r="J1004" s="61"/>
      <c r="K1004" s="61"/>
    </row>
    <row r="1005">
      <c r="C1005" s="61"/>
      <c r="H1005" s="61"/>
      <c r="I1005" s="61"/>
      <c r="J1005" s="61"/>
      <c r="K1005" s="61"/>
    </row>
    <row r="1006">
      <c r="C1006" s="61"/>
      <c r="H1006" s="61"/>
      <c r="I1006" s="61"/>
      <c r="J1006" s="61"/>
      <c r="K1006" s="61"/>
    </row>
    <row r="1007">
      <c r="C1007" s="61"/>
      <c r="H1007" s="61"/>
      <c r="I1007" s="61"/>
      <c r="J1007" s="61"/>
      <c r="K1007" s="61"/>
    </row>
    <row r="1008">
      <c r="C1008" s="61"/>
      <c r="H1008" s="61"/>
      <c r="I1008" s="61"/>
      <c r="J1008" s="61"/>
      <c r="K1008" s="61"/>
    </row>
    <row r="1009">
      <c r="C1009" s="61"/>
      <c r="H1009" s="61"/>
      <c r="I1009" s="61"/>
      <c r="J1009" s="61"/>
      <c r="K1009" s="61"/>
    </row>
    <row r="1010">
      <c r="C1010" s="61"/>
      <c r="H1010" s="61"/>
      <c r="I1010" s="61"/>
      <c r="J1010" s="61"/>
      <c r="K1010" s="61"/>
    </row>
    <row r="1011">
      <c r="C1011" s="61"/>
      <c r="H1011" s="61"/>
      <c r="I1011" s="61"/>
      <c r="J1011" s="61"/>
      <c r="K1011" s="61"/>
    </row>
    <row r="1012">
      <c r="C1012" s="61"/>
      <c r="H1012" s="61"/>
      <c r="I1012" s="61"/>
      <c r="J1012" s="61"/>
      <c r="K1012" s="61"/>
    </row>
    <row r="1013">
      <c r="C1013" s="61"/>
      <c r="H1013" s="61"/>
      <c r="I1013" s="61"/>
      <c r="J1013" s="61"/>
      <c r="K1013" s="61"/>
    </row>
    <row r="1014">
      <c r="C1014" s="61"/>
      <c r="H1014" s="61"/>
      <c r="I1014" s="61"/>
      <c r="J1014" s="61"/>
      <c r="K1014" s="61"/>
    </row>
    <row r="1015">
      <c r="C1015" s="61"/>
      <c r="H1015" s="61"/>
      <c r="I1015" s="61"/>
      <c r="J1015" s="61"/>
      <c r="K1015" s="61"/>
    </row>
    <row r="1016">
      <c r="C1016" s="61"/>
      <c r="H1016" s="61"/>
      <c r="I1016" s="61"/>
      <c r="J1016" s="61"/>
      <c r="K1016" s="61"/>
    </row>
    <row r="1017">
      <c r="C1017" s="61"/>
      <c r="H1017" s="61"/>
      <c r="I1017" s="61"/>
      <c r="J1017" s="61"/>
      <c r="K1017" s="61"/>
    </row>
    <row r="1018">
      <c r="C1018" s="61"/>
      <c r="H1018" s="61"/>
      <c r="I1018" s="61"/>
      <c r="J1018" s="61"/>
      <c r="K1018" s="61"/>
    </row>
    <row r="1019">
      <c r="C1019" s="61"/>
      <c r="H1019" s="61"/>
      <c r="I1019" s="61"/>
      <c r="J1019" s="61"/>
      <c r="K1019" s="61"/>
    </row>
    <row r="1020">
      <c r="C1020" s="61"/>
      <c r="H1020" s="61"/>
      <c r="I1020" s="61"/>
      <c r="J1020" s="61"/>
      <c r="K1020" s="61"/>
    </row>
    <row r="1021">
      <c r="C1021" s="61"/>
      <c r="H1021" s="61"/>
      <c r="I1021" s="61"/>
      <c r="J1021" s="61"/>
      <c r="K1021" s="61"/>
    </row>
    <row r="1022">
      <c r="C1022" s="61"/>
      <c r="H1022" s="61"/>
      <c r="I1022" s="61"/>
      <c r="J1022" s="61"/>
      <c r="K1022" s="61"/>
    </row>
    <row r="1023">
      <c r="C1023" s="61"/>
      <c r="H1023" s="61"/>
      <c r="I1023" s="61"/>
      <c r="J1023" s="61"/>
      <c r="K1023" s="61"/>
    </row>
    <row r="1024">
      <c r="C1024" s="61"/>
      <c r="H1024" s="61"/>
      <c r="I1024" s="61"/>
      <c r="J1024" s="61"/>
      <c r="K1024" s="61"/>
    </row>
    <row r="1025">
      <c r="C1025" s="61"/>
      <c r="H1025" s="61"/>
      <c r="I1025" s="61"/>
      <c r="J1025" s="61"/>
      <c r="K1025" s="61"/>
    </row>
    <row r="1026">
      <c r="C1026" s="61"/>
      <c r="H1026" s="61"/>
      <c r="I1026" s="61"/>
      <c r="J1026" s="61"/>
      <c r="K1026" s="61"/>
    </row>
    <row r="1027">
      <c r="C1027" s="61"/>
      <c r="H1027" s="61"/>
      <c r="I1027" s="61"/>
      <c r="J1027" s="61"/>
      <c r="K1027" s="61"/>
    </row>
    <row r="1028">
      <c r="C1028" s="61"/>
      <c r="H1028" s="61"/>
      <c r="I1028" s="61"/>
      <c r="J1028" s="61"/>
      <c r="K1028" s="61"/>
    </row>
  </sheetData>
  <mergeCells count="22">
    <mergeCell ref="B9:B11"/>
    <mergeCell ref="B12:B14"/>
    <mergeCell ref="B15:B17"/>
    <mergeCell ref="B18:B20"/>
    <mergeCell ref="B21:B23"/>
    <mergeCell ref="B24:B26"/>
    <mergeCell ref="A1:A5"/>
    <mergeCell ref="B1:O1"/>
    <mergeCell ref="D2:F2"/>
    <mergeCell ref="D3:F3"/>
    <mergeCell ref="B4:O4"/>
    <mergeCell ref="A6:A32"/>
    <mergeCell ref="B6:B8"/>
    <mergeCell ref="C48:S48"/>
    <mergeCell ref="C49:S49"/>
    <mergeCell ref="B27:B29"/>
    <mergeCell ref="B30:B32"/>
    <mergeCell ref="B33:B35"/>
    <mergeCell ref="B36:B38"/>
    <mergeCell ref="B39:B41"/>
    <mergeCell ref="B42:B44"/>
    <mergeCell ref="B45:B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13"/>
    <col customWidth="1" min="3" max="3" width="15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9" t="s">
        <v>23</v>
      </c>
      <c r="U5" s="9" t="s">
        <v>24</v>
      </c>
      <c r="V5" s="9" t="s">
        <v>25</v>
      </c>
      <c r="W5" s="10" t="s">
        <v>26</v>
      </c>
      <c r="X5" s="11" t="s">
        <v>27</v>
      </c>
    </row>
    <row r="6" ht="22.5" customHeight="1">
      <c r="A6" s="1"/>
      <c r="B6" s="12">
        <v>0.0</v>
      </c>
      <c r="C6" s="13" t="s">
        <v>28</v>
      </c>
      <c r="D6" s="14">
        <v>45628.0</v>
      </c>
      <c r="E6" s="14">
        <v>45631.0</v>
      </c>
      <c r="F6" s="15">
        <v>45634.0</v>
      </c>
      <c r="G6" s="14">
        <v>45641.0</v>
      </c>
      <c r="H6" s="14">
        <v>45644.0</v>
      </c>
      <c r="I6" s="14">
        <v>45646.0</v>
      </c>
      <c r="J6" s="14">
        <v>45647.0</v>
      </c>
      <c r="K6" s="15">
        <v>45649.0</v>
      </c>
      <c r="L6" s="16"/>
      <c r="M6" s="16"/>
      <c r="N6" s="17"/>
      <c r="O6" s="17"/>
      <c r="P6" s="18"/>
      <c r="Q6" s="19"/>
      <c r="R6" s="19"/>
      <c r="S6" s="19"/>
      <c r="T6" s="18">
        <v>46003.0</v>
      </c>
      <c r="U6" s="19"/>
      <c r="V6" s="19"/>
      <c r="W6" s="19"/>
      <c r="X6" s="20"/>
      <c r="Y6" s="21"/>
      <c r="Z6" s="21"/>
      <c r="AA6" s="21"/>
      <c r="AB6" s="21"/>
      <c r="AC6" s="21"/>
      <c r="AD6" s="21"/>
      <c r="AE6" s="21"/>
      <c r="AF6" s="21"/>
    </row>
    <row r="7" ht="33.75" customHeight="1">
      <c r="B7" s="22"/>
      <c r="C7" s="23" t="s">
        <v>29</v>
      </c>
      <c r="D7" s="24">
        <v>2.0</v>
      </c>
      <c r="E7" s="24">
        <v>1.5</v>
      </c>
      <c r="F7" s="23">
        <v>0.0</v>
      </c>
      <c r="G7" s="24">
        <v>1.5</v>
      </c>
      <c r="H7" s="23">
        <v>2.0</v>
      </c>
      <c r="I7" s="24">
        <v>1.0</v>
      </c>
      <c r="J7" s="24">
        <v>2.0</v>
      </c>
      <c r="K7" s="23">
        <v>0.0</v>
      </c>
      <c r="L7" s="25"/>
      <c r="M7" s="25"/>
      <c r="N7" s="26"/>
      <c r="O7" s="26"/>
      <c r="P7" s="24"/>
      <c r="Q7" s="19"/>
      <c r="R7" s="19"/>
      <c r="S7" s="24"/>
      <c r="T7" s="24">
        <v>2.0</v>
      </c>
      <c r="U7" s="19"/>
      <c r="V7" s="19"/>
      <c r="W7" s="24">
        <f>SUM(G7:V7)</f>
        <v>8.5</v>
      </c>
      <c r="X7" s="27">
        <v>0.0</v>
      </c>
    </row>
    <row r="8" ht="33.75" customHeight="1">
      <c r="B8" s="28"/>
      <c r="C8" s="29" t="s">
        <v>30</v>
      </c>
      <c r="D8" s="25"/>
      <c r="E8" s="25"/>
      <c r="F8" s="29" t="s">
        <v>31</v>
      </c>
      <c r="G8" s="25"/>
      <c r="H8" s="29" t="s">
        <v>32</v>
      </c>
      <c r="I8" s="25"/>
      <c r="J8" s="25"/>
      <c r="K8" s="29" t="s">
        <v>33</v>
      </c>
      <c r="L8" s="25"/>
      <c r="M8" s="25"/>
      <c r="N8" s="26"/>
      <c r="O8" s="26"/>
      <c r="P8" s="24"/>
      <c r="Q8" s="19"/>
      <c r="R8" s="19"/>
      <c r="S8" s="24"/>
      <c r="T8" s="24"/>
      <c r="U8" s="19"/>
      <c r="V8" s="19"/>
      <c r="W8" s="24"/>
      <c r="X8" s="20"/>
    </row>
    <row r="9" ht="22.5" customHeight="1">
      <c r="B9" s="12">
        <v>1.0</v>
      </c>
      <c r="C9" s="30" t="s">
        <v>34</v>
      </c>
      <c r="D9" s="62">
        <v>46055.0</v>
      </c>
      <c r="E9" s="62">
        <v>46058.0</v>
      </c>
      <c r="F9" s="62">
        <v>46062.0</v>
      </c>
      <c r="G9" s="62">
        <v>46076.0</v>
      </c>
      <c r="H9" s="62">
        <v>46079.0</v>
      </c>
      <c r="I9" s="57"/>
      <c r="J9" s="57"/>
      <c r="K9" s="57"/>
      <c r="L9" s="57"/>
      <c r="M9" s="33"/>
      <c r="N9" s="34"/>
      <c r="O9" s="34"/>
      <c r="P9" s="35"/>
      <c r="Q9" s="36"/>
      <c r="R9" s="36"/>
      <c r="S9" s="36"/>
      <c r="T9" s="36"/>
      <c r="U9" s="36"/>
      <c r="V9" s="36"/>
      <c r="W9" s="36"/>
      <c r="X9" s="20"/>
      <c r="Y9" s="21"/>
      <c r="Z9" s="21"/>
      <c r="AA9" s="21"/>
      <c r="AB9" s="21"/>
      <c r="AC9" s="21"/>
      <c r="AD9" s="21"/>
      <c r="AE9" s="21"/>
      <c r="AF9" s="21"/>
    </row>
    <row r="10" ht="22.5" customHeight="1">
      <c r="B10" s="22"/>
      <c r="C10" s="37" t="s">
        <v>29</v>
      </c>
      <c r="D10" s="38">
        <v>1.0</v>
      </c>
      <c r="E10" s="38">
        <v>1.5</v>
      </c>
      <c r="F10" s="38">
        <v>1.0</v>
      </c>
      <c r="G10" s="38">
        <v>1.0</v>
      </c>
      <c r="H10" s="38">
        <v>1.5</v>
      </c>
      <c r="I10" s="38"/>
      <c r="J10" s="38"/>
      <c r="K10" s="38"/>
      <c r="L10" s="38"/>
      <c r="M10" s="39"/>
      <c r="N10" s="40"/>
      <c r="O10" s="40"/>
      <c r="P10" s="36"/>
      <c r="Q10" s="36"/>
      <c r="R10" s="36"/>
      <c r="S10" s="41"/>
      <c r="T10" s="41"/>
      <c r="U10" s="41"/>
      <c r="V10" s="41"/>
      <c r="W10" s="41">
        <v>6.0</v>
      </c>
      <c r="X10" s="42">
        <f>W10*30000</f>
        <v>180000</v>
      </c>
    </row>
    <row r="11" ht="30.75" customHeight="1">
      <c r="B11" s="28"/>
      <c r="C11" s="43" t="s">
        <v>30</v>
      </c>
      <c r="D11" s="38"/>
      <c r="E11" s="44"/>
      <c r="F11" s="38"/>
      <c r="G11" s="45"/>
      <c r="H11" s="38"/>
      <c r="I11" s="45"/>
      <c r="J11" s="38"/>
      <c r="K11" s="38"/>
      <c r="L11" s="39"/>
      <c r="M11" s="39"/>
      <c r="N11" s="40"/>
      <c r="O11" s="40"/>
      <c r="P11" s="36"/>
      <c r="Q11" s="36"/>
      <c r="R11" s="36"/>
      <c r="S11" s="36"/>
      <c r="T11" s="36"/>
      <c r="U11" s="36"/>
      <c r="V11" s="36"/>
      <c r="W11" s="36"/>
      <c r="X11" s="20"/>
    </row>
    <row r="12" ht="22.5" customHeight="1">
      <c r="B12" s="12">
        <v>2.0</v>
      </c>
      <c r="C12" s="30" t="s">
        <v>37</v>
      </c>
      <c r="D12" s="62">
        <v>46060.0</v>
      </c>
      <c r="E12" s="62">
        <v>46074.0</v>
      </c>
      <c r="F12" s="62">
        <v>46081.0</v>
      </c>
      <c r="G12" s="70"/>
      <c r="H12" s="50"/>
      <c r="I12" s="50"/>
      <c r="J12" s="50"/>
      <c r="K12" s="50"/>
      <c r="L12" s="15"/>
      <c r="M12" s="33"/>
      <c r="N12" s="45"/>
      <c r="O12" s="34"/>
      <c r="P12" s="36"/>
      <c r="Q12" s="36"/>
      <c r="R12" s="36"/>
      <c r="S12" s="36"/>
      <c r="T12" s="36"/>
      <c r="U12" s="36"/>
      <c r="V12" s="36"/>
      <c r="W12" s="36"/>
      <c r="X12" s="42"/>
      <c r="Y12" s="21"/>
      <c r="Z12" s="21"/>
      <c r="AA12" s="21"/>
      <c r="AB12" s="21"/>
      <c r="AC12" s="21"/>
      <c r="AD12" s="21"/>
      <c r="AE12" s="21"/>
      <c r="AF12" s="21"/>
    </row>
    <row r="13" ht="22.5" customHeight="1">
      <c r="B13" s="22"/>
      <c r="C13" s="37" t="s">
        <v>29</v>
      </c>
      <c r="D13" s="38">
        <v>1.0</v>
      </c>
      <c r="E13" s="38">
        <v>1.0</v>
      </c>
      <c r="F13" s="38">
        <v>1.0</v>
      </c>
      <c r="G13" s="38"/>
      <c r="H13" s="38"/>
      <c r="I13" s="45"/>
      <c r="J13" s="45"/>
      <c r="K13" s="45"/>
      <c r="L13" s="38"/>
      <c r="M13" s="38"/>
      <c r="N13" s="38"/>
      <c r="O13" s="40"/>
      <c r="P13" s="36"/>
      <c r="Q13" s="36"/>
      <c r="R13" s="36"/>
      <c r="S13" s="36"/>
      <c r="T13" s="36"/>
      <c r="U13" s="36"/>
      <c r="V13" s="36"/>
      <c r="W13" s="41">
        <v>3.0</v>
      </c>
      <c r="X13" s="42">
        <f>W13*30000</f>
        <v>90000</v>
      </c>
    </row>
    <row r="14" ht="37.5" customHeight="1">
      <c r="B14" s="28"/>
      <c r="C14" s="43" t="s">
        <v>30</v>
      </c>
      <c r="D14" s="45"/>
      <c r="E14" s="45"/>
      <c r="F14" s="38"/>
      <c r="G14" s="44"/>
      <c r="H14" s="45"/>
      <c r="I14" s="45"/>
      <c r="J14" s="45"/>
      <c r="K14" s="45"/>
      <c r="L14" s="38"/>
      <c r="M14" s="38"/>
      <c r="N14" s="40"/>
      <c r="O14" s="40"/>
      <c r="P14" s="36"/>
      <c r="Q14" s="36"/>
      <c r="R14" s="36"/>
      <c r="S14" s="36"/>
      <c r="T14" s="36"/>
      <c r="U14" s="36"/>
      <c r="V14" s="36"/>
      <c r="W14" s="36"/>
      <c r="X14" s="42"/>
    </row>
    <row r="15" ht="22.5" customHeight="1">
      <c r="B15" s="12">
        <v>3.0</v>
      </c>
      <c r="C15" s="30" t="s">
        <v>39</v>
      </c>
      <c r="D15" s="62">
        <v>46055.0</v>
      </c>
      <c r="E15" s="62">
        <v>46057.0</v>
      </c>
      <c r="F15" s="62">
        <v>46076.0</v>
      </c>
      <c r="G15" s="62">
        <v>46078.0</v>
      </c>
      <c r="H15" s="32"/>
      <c r="I15" s="57"/>
      <c r="J15" s="57"/>
      <c r="K15" s="57"/>
      <c r="L15" s="46"/>
      <c r="M15" s="46"/>
      <c r="N15" s="47"/>
      <c r="O15" s="47"/>
      <c r="P15" s="36"/>
      <c r="Q15" s="36"/>
      <c r="R15" s="36"/>
      <c r="S15" s="36"/>
      <c r="T15" s="36"/>
      <c r="U15" s="36"/>
      <c r="V15" s="36"/>
      <c r="W15" s="36"/>
      <c r="X15" s="20"/>
      <c r="Y15" s="21"/>
      <c r="Z15" s="21"/>
      <c r="AA15" s="21"/>
      <c r="AB15" s="21"/>
      <c r="AC15" s="21"/>
      <c r="AD15" s="21"/>
      <c r="AE15" s="21"/>
      <c r="AF15" s="21"/>
    </row>
    <row r="16" ht="22.5" customHeight="1">
      <c r="B16" s="22"/>
      <c r="C16" s="43" t="s">
        <v>29</v>
      </c>
      <c r="D16" s="38">
        <v>1.0</v>
      </c>
      <c r="E16" s="38">
        <v>1.0</v>
      </c>
      <c r="F16" s="38">
        <v>1.0</v>
      </c>
      <c r="G16" s="38">
        <v>1.0</v>
      </c>
      <c r="H16" s="38"/>
      <c r="I16" s="38"/>
      <c r="J16" s="38"/>
      <c r="K16" s="38"/>
      <c r="L16" s="39"/>
      <c r="M16" s="39"/>
      <c r="N16" s="48"/>
      <c r="O16" s="48"/>
      <c r="P16" s="49"/>
      <c r="Q16" s="49"/>
      <c r="R16" s="49"/>
      <c r="S16" s="36"/>
      <c r="T16" s="36"/>
      <c r="U16" s="36"/>
      <c r="V16" s="36"/>
      <c r="W16" s="41">
        <v>4.0</v>
      </c>
      <c r="X16" s="42">
        <f>W16*30000</f>
        <v>120000</v>
      </c>
    </row>
    <row r="17" ht="36.0" customHeight="1">
      <c r="B17" s="28"/>
      <c r="C17" s="43" t="s">
        <v>30</v>
      </c>
      <c r="D17" s="44"/>
      <c r="E17" s="44"/>
      <c r="F17" s="45"/>
      <c r="G17" s="38"/>
      <c r="H17" s="45"/>
      <c r="I17" s="38"/>
      <c r="J17" s="38"/>
      <c r="K17" s="38"/>
      <c r="L17" s="39"/>
      <c r="M17" s="39"/>
      <c r="N17" s="48"/>
      <c r="O17" s="48"/>
      <c r="P17" s="49"/>
      <c r="Q17" s="49"/>
      <c r="R17" s="49"/>
      <c r="S17" s="36"/>
      <c r="T17" s="36"/>
      <c r="U17" s="36"/>
      <c r="V17" s="36"/>
      <c r="W17" s="36"/>
      <c r="X17" s="42"/>
    </row>
    <row r="18" ht="22.5" customHeight="1">
      <c r="B18" s="12">
        <v>4.0</v>
      </c>
      <c r="C18" s="30" t="s">
        <v>40</v>
      </c>
      <c r="D18" s="62">
        <v>46056.0</v>
      </c>
      <c r="E18" s="62">
        <v>46058.0</v>
      </c>
      <c r="F18" s="62">
        <v>46077.0</v>
      </c>
      <c r="G18" s="62">
        <v>46079.0</v>
      </c>
      <c r="H18" s="57"/>
      <c r="I18" s="57"/>
      <c r="J18" s="15"/>
      <c r="K18" s="57"/>
      <c r="L18" s="33"/>
      <c r="M18" s="50"/>
      <c r="N18" s="45"/>
      <c r="O18" s="47"/>
      <c r="P18" s="49"/>
      <c r="Q18" s="49"/>
      <c r="R18" s="49"/>
      <c r="S18" s="36"/>
      <c r="T18" s="36"/>
      <c r="U18" s="36"/>
      <c r="V18" s="36"/>
      <c r="W18" s="36"/>
      <c r="X18" s="20"/>
      <c r="Y18" s="21"/>
      <c r="Z18" s="21"/>
      <c r="AA18" s="21"/>
      <c r="AB18" s="21"/>
      <c r="AC18" s="21"/>
      <c r="AD18" s="21"/>
      <c r="AE18" s="21"/>
      <c r="AF18" s="21"/>
    </row>
    <row r="19" ht="22.5" customHeight="1">
      <c r="B19" s="22"/>
      <c r="C19" s="43" t="s">
        <v>29</v>
      </c>
      <c r="D19" s="38">
        <v>1.0</v>
      </c>
      <c r="E19" s="38">
        <v>1.0</v>
      </c>
      <c r="F19" s="38">
        <v>1.0</v>
      </c>
      <c r="G19" s="38">
        <v>1.0</v>
      </c>
      <c r="H19" s="38"/>
      <c r="I19" s="38"/>
      <c r="J19" s="51"/>
      <c r="K19" s="38"/>
      <c r="L19" s="39"/>
      <c r="M19" s="39"/>
      <c r="N19" s="48"/>
      <c r="O19" s="48"/>
      <c r="P19" s="49"/>
      <c r="Q19" s="49"/>
      <c r="R19" s="49"/>
      <c r="S19" s="36"/>
      <c r="T19" s="36"/>
      <c r="U19" s="36"/>
      <c r="V19" s="36"/>
      <c r="W19" s="41">
        <v>4.0</v>
      </c>
      <c r="X19" s="42">
        <f>W19*30000</f>
        <v>120000</v>
      </c>
    </row>
    <row r="20" ht="30.75" customHeight="1">
      <c r="B20" s="28"/>
      <c r="C20" s="43" t="s">
        <v>30</v>
      </c>
      <c r="D20" s="38"/>
      <c r="E20" s="38"/>
      <c r="F20" s="45"/>
      <c r="G20" s="45"/>
      <c r="H20" s="52"/>
      <c r="I20" s="38"/>
      <c r="J20" s="38"/>
      <c r="K20" s="53"/>
      <c r="L20" s="39"/>
      <c r="M20" s="39"/>
      <c r="N20" s="48"/>
      <c r="O20" s="48"/>
      <c r="P20" s="49"/>
      <c r="Q20" s="49"/>
      <c r="R20" s="49"/>
      <c r="S20" s="36"/>
      <c r="T20" s="36"/>
      <c r="U20" s="36"/>
      <c r="V20" s="36"/>
      <c r="W20" s="36"/>
      <c r="X20" s="42"/>
    </row>
    <row r="21" ht="22.5" customHeight="1">
      <c r="B21" s="12">
        <v>5.0</v>
      </c>
      <c r="C21" s="54" t="s">
        <v>41</v>
      </c>
      <c r="D21" s="62">
        <v>46056.0</v>
      </c>
      <c r="E21" s="62">
        <v>46057.0</v>
      </c>
      <c r="F21" s="31">
        <v>46059.0</v>
      </c>
      <c r="G21" s="62">
        <v>46063.0</v>
      </c>
      <c r="H21" s="62">
        <v>46077.0</v>
      </c>
      <c r="I21" s="62">
        <v>46078.0</v>
      </c>
      <c r="J21" s="62">
        <v>46080.0</v>
      </c>
      <c r="K21" s="32"/>
      <c r="L21" s="57"/>
      <c r="M21" s="45"/>
      <c r="N21" s="45"/>
      <c r="O21" s="47"/>
      <c r="P21" s="36"/>
      <c r="Q21" s="36"/>
      <c r="R21" s="36"/>
      <c r="S21" s="36"/>
      <c r="T21" s="36"/>
      <c r="U21" s="36"/>
      <c r="V21" s="36"/>
      <c r="W21" s="36"/>
      <c r="X21" s="42"/>
      <c r="Y21" s="21"/>
      <c r="Z21" s="21"/>
      <c r="AA21" s="21"/>
      <c r="AB21" s="21"/>
      <c r="AC21" s="21"/>
      <c r="AD21" s="21"/>
      <c r="AE21" s="21"/>
      <c r="AF21" s="21"/>
    </row>
    <row r="22" ht="22.5" customHeight="1">
      <c r="B22" s="22"/>
      <c r="C22" s="37" t="s">
        <v>29</v>
      </c>
      <c r="D22" s="38">
        <v>2.0</v>
      </c>
      <c r="E22" s="38">
        <v>2.0</v>
      </c>
      <c r="F22" s="38">
        <v>0.0</v>
      </c>
      <c r="G22" s="38">
        <v>2.0</v>
      </c>
      <c r="H22" s="38">
        <v>2.0</v>
      </c>
      <c r="I22" s="38">
        <v>2.0</v>
      </c>
      <c r="J22" s="43">
        <v>2.0</v>
      </c>
      <c r="K22" s="38"/>
      <c r="L22" s="38"/>
      <c r="M22" s="39"/>
      <c r="N22" s="48"/>
      <c r="O22" s="48"/>
      <c r="P22" s="36"/>
      <c r="Q22" s="36"/>
      <c r="R22" s="36"/>
      <c r="S22" s="36"/>
      <c r="T22" s="36"/>
      <c r="U22" s="36"/>
      <c r="V22" s="36"/>
      <c r="W22" s="41">
        <v>12.0</v>
      </c>
      <c r="X22" s="42">
        <f>W22*45000</f>
        <v>540000</v>
      </c>
    </row>
    <row r="23" ht="30.0" customHeight="1">
      <c r="B23" s="28"/>
      <c r="C23" s="37" t="s">
        <v>30</v>
      </c>
      <c r="D23" s="38"/>
      <c r="E23" s="38"/>
      <c r="F23" s="38" t="s">
        <v>54</v>
      </c>
      <c r="G23" s="38"/>
      <c r="H23" s="38"/>
      <c r="I23" s="55"/>
      <c r="J23" s="55"/>
      <c r="K23" s="38"/>
      <c r="L23" s="39"/>
      <c r="M23" s="39"/>
      <c r="N23" s="48"/>
      <c r="O23" s="48"/>
      <c r="P23" s="36"/>
      <c r="Q23" s="36"/>
      <c r="R23" s="36"/>
      <c r="S23" s="36"/>
      <c r="T23" s="36"/>
      <c r="U23" s="36"/>
      <c r="V23" s="36"/>
      <c r="W23" s="36"/>
      <c r="X23" s="42"/>
    </row>
    <row r="24" ht="22.5" customHeight="1">
      <c r="B24" s="12">
        <v>6.0</v>
      </c>
      <c r="C24" s="30" t="s">
        <v>55</v>
      </c>
      <c r="D24" s="62">
        <v>46055.0</v>
      </c>
      <c r="E24" s="62"/>
      <c r="F24" s="62"/>
      <c r="G24" s="62"/>
      <c r="H24" s="56"/>
      <c r="I24" s="56"/>
      <c r="J24" s="56"/>
      <c r="K24" s="56"/>
      <c r="L24" s="32"/>
      <c r="M24" s="57"/>
      <c r="N24" s="57"/>
      <c r="O24" s="57"/>
      <c r="P24" s="57"/>
      <c r="Q24" s="50"/>
      <c r="R24" s="45"/>
      <c r="S24" s="41"/>
      <c r="T24" s="41"/>
      <c r="U24" s="41"/>
      <c r="V24" s="41"/>
      <c r="W24" s="41"/>
      <c r="X24" s="58"/>
      <c r="Y24" s="59"/>
      <c r="Z24" s="59"/>
      <c r="AA24" s="59"/>
      <c r="AB24" s="59"/>
      <c r="AC24" s="59"/>
      <c r="AD24" s="59"/>
      <c r="AE24" s="59"/>
      <c r="AF24" s="59"/>
    </row>
    <row r="25" ht="22.5" customHeight="1">
      <c r="B25" s="22"/>
      <c r="C25" s="37" t="s">
        <v>29</v>
      </c>
      <c r="D25" s="52">
        <v>2.0</v>
      </c>
      <c r="E25" s="52"/>
      <c r="F25" s="52"/>
      <c r="G25" s="52"/>
      <c r="H25" s="52"/>
      <c r="I25" s="51"/>
      <c r="J25" s="54"/>
      <c r="K25" s="54"/>
      <c r="L25" s="38"/>
      <c r="M25" s="43"/>
      <c r="N25" s="43"/>
      <c r="O25" s="43"/>
      <c r="P25" s="43"/>
      <c r="Q25" s="52"/>
      <c r="R25" s="36"/>
      <c r="S25" s="41"/>
      <c r="T25" s="41"/>
      <c r="U25" s="41"/>
      <c r="V25" s="41"/>
      <c r="W25" s="41">
        <v>2.0</v>
      </c>
      <c r="X25" s="42">
        <f>W25*30000</f>
        <v>60000</v>
      </c>
      <c r="Y25" s="59"/>
      <c r="Z25" s="60"/>
      <c r="AA25" s="59"/>
      <c r="AB25" s="59"/>
      <c r="AC25" s="59"/>
      <c r="AD25" s="59"/>
      <c r="AE25" s="59"/>
      <c r="AF25" s="59"/>
    </row>
    <row r="26" ht="27.0" customHeight="1">
      <c r="B26" s="28"/>
      <c r="C26" s="37" t="s">
        <v>30</v>
      </c>
      <c r="D26" s="38" t="s">
        <v>56</v>
      </c>
      <c r="E26" s="54"/>
      <c r="F26" s="55"/>
      <c r="G26" s="55"/>
      <c r="H26" s="55"/>
      <c r="I26" s="52"/>
      <c r="J26" s="55"/>
      <c r="K26" s="55"/>
      <c r="L26" s="38"/>
      <c r="M26" s="55"/>
      <c r="N26" s="38"/>
      <c r="O26" s="38"/>
      <c r="P26" s="55"/>
      <c r="Q26" s="38"/>
      <c r="R26" s="36"/>
      <c r="S26" s="36"/>
      <c r="T26" s="36"/>
      <c r="U26" s="36"/>
      <c r="V26" s="36"/>
      <c r="W26" s="36"/>
      <c r="X26" s="58"/>
      <c r="Y26" s="61"/>
      <c r="Z26" s="61"/>
      <c r="AA26" s="61"/>
      <c r="AB26" s="61"/>
      <c r="AC26" s="61"/>
      <c r="AD26" s="61"/>
      <c r="AE26" s="61"/>
      <c r="AF26" s="61"/>
    </row>
    <row r="27" ht="20.25" customHeight="1">
      <c r="B27" s="12">
        <v>7.0</v>
      </c>
      <c r="C27" s="54" t="s">
        <v>43</v>
      </c>
      <c r="D27" s="62">
        <v>46058.0</v>
      </c>
      <c r="E27" s="62">
        <v>46079.0</v>
      </c>
      <c r="F27" s="32"/>
      <c r="G27" s="57"/>
      <c r="H27" s="57"/>
      <c r="I27" s="33"/>
      <c r="J27" s="33"/>
      <c r="K27" s="33"/>
      <c r="L27" s="56"/>
      <c r="M27" s="56"/>
      <c r="N27" s="63"/>
      <c r="O27" s="55"/>
      <c r="P27" s="55"/>
      <c r="Q27" s="44"/>
      <c r="R27" s="36"/>
      <c r="S27" s="36"/>
      <c r="T27" s="36"/>
      <c r="U27" s="36"/>
      <c r="V27" s="36"/>
      <c r="W27" s="36"/>
      <c r="X27" s="58"/>
      <c r="Y27" s="61"/>
      <c r="Z27" s="61"/>
      <c r="AA27" s="61"/>
      <c r="AB27" s="61"/>
      <c r="AC27" s="61"/>
      <c r="AD27" s="61"/>
      <c r="AE27" s="61"/>
      <c r="AF27" s="61"/>
    </row>
    <row r="28" ht="20.25" customHeight="1">
      <c r="B28" s="22"/>
      <c r="C28" s="37" t="s">
        <v>29</v>
      </c>
      <c r="D28" s="38">
        <v>1.0</v>
      </c>
      <c r="E28" s="38">
        <v>1.0</v>
      </c>
      <c r="F28" s="38"/>
      <c r="G28" s="38"/>
      <c r="H28" s="38"/>
      <c r="I28" s="38"/>
      <c r="J28" s="38"/>
      <c r="K28" s="51"/>
      <c r="L28" s="54"/>
      <c r="M28" s="51"/>
      <c r="N28" s="51"/>
      <c r="O28" s="55"/>
      <c r="P28" s="55"/>
      <c r="Q28" s="44"/>
      <c r="R28" s="36"/>
      <c r="S28" s="36"/>
      <c r="T28" s="36"/>
      <c r="U28" s="36"/>
      <c r="V28" s="36"/>
      <c r="W28" s="41">
        <v>2.0</v>
      </c>
      <c r="X28" s="42">
        <f>W28*30000</f>
        <v>60000</v>
      </c>
      <c r="Y28" s="61"/>
      <c r="Z28" s="61"/>
      <c r="AA28" s="61"/>
      <c r="AB28" s="61"/>
      <c r="AC28" s="61"/>
      <c r="AD28" s="61"/>
      <c r="AE28" s="61"/>
      <c r="AF28" s="61"/>
    </row>
    <row r="29" ht="20.25" customHeight="1">
      <c r="B29" s="28"/>
      <c r="C29" s="37" t="s">
        <v>30</v>
      </c>
      <c r="D29" s="38"/>
      <c r="E29" s="44"/>
      <c r="F29" s="44"/>
      <c r="G29" s="45"/>
      <c r="H29" s="38"/>
      <c r="I29" s="45"/>
      <c r="J29" s="38"/>
      <c r="K29" s="38"/>
      <c r="L29" s="55"/>
      <c r="M29" s="38"/>
      <c r="N29" s="38"/>
      <c r="O29" s="55"/>
      <c r="P29" s="55"/>
      <c r="Q29" s="44"/>
      <c r="R29" s="36"/>
      <c r="S29" s="36"/>
      <c r="T29" s="36"/>
      <c r="U29" s="36"/>
      <c r="V29" s="36"/>
      <c r="W29" s="36"/>
      <c r="X29" s="58"/>
      <c r="Y29" s="61"/>
      <c r="Z29" s="61"/>
      <c r="AA29" s="61"/>
      <c r="AB29" s="61"/>
      <c r="AC29" s="61"/>
      <c r="AD29" s="61"/>
      <c r="AE29" s="61"/>
      <c r="AF29" s="61"/>
    </row>
    <row r="30" ht="22.5" customHeight="1">
      <c r="B30" s="12">
        <v>8.0</v>
      </c>
      <c r="C30" s="54" t="s">
        <v>44</v>
      </c>
      <c r="D30" s="62">
        <v>46056.0</v>
      </c>
      <c r="E30" s="62">
        <v>46058.0</v>
      </c>
      <c r="F30" s="62">
        <v>46059.0</v>
      </c>
      <c r="G30" s="62">
        <v>46062.0</v>
      </c>
      <c r="H30" s="62">
        <v>46077.0</v>
      </c>
      <c r="I30" s="31">
        <v>46080.0</v>
      </c>
      <c r="J30" s="39"/>
      <c r="K30" s="39"/>
      <c r="L30" s="33"/>
      <c r="M30" s="45"/>
      <c r="N30" s="45"/>
      <c r="O30" s="45"/>
      <c r="P30" s="45"/>
      <c r="Q30" s="36"/>
      <c r="R30" s="36"/>
      <c r="S30" s="36"/>
      <c r="T30" s="36"/>
      <c r="U30" s="36"/>
      <c r="V30" s="36"/>
      <c r="W30" s="36"/>
      <c r="X30" s="42"/>
      <c r="Y30" s="21"/>
      <c r="Z30" s="21"/>
      <c r="AA30" s="21"/>
      <c r="AB30" s="21"/>
      <c r="AC30" s="21"/>
      <c r="AD30" s="21"/>
      <c r="AE30" s="21"/>
      <c r="AF30" s="21"/>
    </row>
    <row r="31" ht="22.5" customHeight="1">
      <c r="B31" s="22"/>
      <c r="C31" s="37" t="s">
        <v>29</v>
      </c>
      <c r="D31" s="38">
        <v>1.0</v>
      </c>
      <c r="E31" s="38">
        <v>1.0</v>
      </c>
      <c r="F31" s="38">
        <v>1.0</v>
      </c>
      <c r="G31" s="38">
        <v>1.0</v>
      </c>
      <c r="H31" s="38">
        <v>1.0</v>
      </c>
      <c r="I31" s="44">
        <v>0.0</v>
      </c>
      <c r="J31" s="39"/>
      <c r="K31" s="39"/>
      <c r="L31" s="38"/>
      <c r="M31" s="64"/>
      <c r="N31" s="34"/>
      <c r="O31" s="34"/>
      <c r="P31" s="36"/>
      <c r="Q31" s="36"/>
      <c r="R31" s="36"/>
      <c r="S31" s="36"/>
      <c r="T31" s="36"/>
      <c r="U31" s="36"/>
      <c r="V31" s="36"/>
      <c r="W31" s="41">
        <v>5.0</v>
      </c>
      <c r="X31" s="42">
        <f>W31*30000</f>
        <v>150000</v>
      </c>
      <c r="Y31" s="21"/>
      <c r="Z31" s="21"/>
      <c r="AA31" s="21"/>
      <c r="AB31" s="21"/>
      <c r="AC31" s="21"/>
      <c r="AD31" s="21"/>
      <c r="AE31" s="21"/>
      <c r="AF31" s="21"/>
    </row>
    <row r="32" ht="29.25" customHeight="1">
      <c r="B32" s="28"/>
      <c r="C32" s="37" t="s">
        <v>30</v>
      </c>
      <c r="D32" s="45"/>
      <c r="E32" s="50"/>
      <c r="F32" s="50"/>
      <c r="G32" s="50"/>
      <c r="H32" s="44"/>
      <c r="I32" s="44" t="s">
        <v>57</v>
      </c>
      <c r="J32" s="39"/>
      <c r="K32" s="39"/>
      <c r="L32" s="38"/>
      <c r="M32" s="39"/>
      <c r="N32" s="40"/>
      <c r="O32" s="40"/>
      <c r="P32" s="36"/>
      <c r="Q32" s="36"/>
      <c r="R32" s="36"/>
      <c r="S32" s="36"/>
      <c r="T32" s="36"/>
      <c r="U32" s="36"/>
      <c r="V32" s="36"/>
      <c r="W32" s="36"/>
      <c r="X32" s="42"/>
    </row>
    <row r="33" ht="21.75" customHeight="1">
      <c r="A33" s="1"/>
      <c r="B33" s="12">
        <v>9.0</v>
      </c>
      <c r="C33" s="54" t="s">
        <v>58</v>
      </c>
      <c r="D33" s="62">
        <v>46077.0</v>
      </c>
      <c r="E33" s="32"/>
      <c r="F33" s="57"/>
      <c r="G33" s="33"/>
      <c r="H33" s="33"/>
      <c r="I33" s="33"/>
      <c r="J33" s="33"/>
      <c r="K33" s="33"/>
      <c r="L33" s="39"/>
      <c r="M33" s="39"/>
      <c r="N33" s="40"/>
      <c r="O33" s="40"/>
      <c r="P33" s="36"/>
      <c r="Q33" s="36"/>
      <c r="R33" s="36"/>
      <c r="S33" s="36"/>
      <c r="T33" s="36"/>
      <c r="U33" s="36"/>
      <c r="V33" s="36"/>
      <c r="W33" s="36"/>
      <c r="X33" s="42"/>
    </row>
    <row r="34" ht="21.75" customHeight="1">
      <c r="A34" s="1"/>
      <c r="B34" s="22"/>
      <c r="C34" s="37" t="s">
        <v>29</v>
      </c>
      <c r="D34" s="51">
        <v>1.0</v>
      </c>
      <c r="E34" s="51"/>
      <c r="F34" s="51"/>
      <c r="G34" s="50"/>
      <c r="H34" s="44"/>
      <c r="I34" s="44"/>
      <c r="J34" s="39"/>
      <c r="K34" s="39"/>
      <c r="L34" s="39"/>
      <c r="M34" s="39"/>
      <c r="N34" s="40"/>
      <c r="O34" s="40"/>
      <c r="P34" s="36"/>
      <c r="Q34" s="36"/>
      <c r="R34" s="36"/>
      <c r="S34" s="36"/>
      <c r="T34" s="36"/>
      <c r="U34" s="36"/>
      <c r="V34" s="36"/>
      <c r="W34" s="41">
        <v>1.0</v>
      </c>
      <c r="X34" s="42">
        <f>W34*30000</f>
        <v>30000</v>
      </c>
    </row>
    <row r="35" ht="29.25" customHeight="1">
      <c r="A35" s="1"/>
      <c r="B35" s="28"/>
      <c r="C35" s="37" t="s">
        <v>30</v>
      </c>
      <c r="D35" s="45"/>
      <c r="E35" s="51"/>
      <c r="F35" s="50"/>
      <c r="G35" s="50"/>
      <c r="H35" s="44"/>
      <c r="I35" s="44"/>
      <c r="J35" s="39"/>
      <c r="K35" s="39"/>
      <c r="L35" s="39"/>
      <c r="M35" s="39"/>
      <c r="N35" s="40"/>
      <c r="O35" s="40"/>
      <c r="P35" s="36"/>
      <c r="Q35" s="36"/>
      <c r="R35" s="36"/>
      <c r="S35" s="36"/>
      <c r="T35" s="36"/>
      <c r="U35" s="36"/>
      <c r="V35" s="36"/>
      <c r="W35" s="36"/>
      <c r="X35" s="42"/>
    </row>
    <row r="36" ht="21.75" customHeight="1">
      <c r="A36" s="1"/>
      <c r="B36" s="12">
        <v>10.0</v>
      </c>
      <c r="C36" s="54" t="s">
        <v>51</v>
      </c>
      <c r="D36" s="62">
        <v>46080.0</v>
      </c>
      <c r="E36" s="32"/>
      <c r="F36" s="57"/>
      <c r="G36" s="33"/>
      <c r="H36" s="33"/>
      <c r="I36" s="33"/>
      <c r="J36" s="33"/>
      <c r="K36" s="33"/>
      <c r="L36" s="33"/>
      <c r="M36" s="39"/>
      <c r="N36" s="40"/>
      <c r="O36" s="40"/>
      <c r="P36" s="36"/>
      <c r="Q36" s="36"/>
      <c r="R36" s="36"/>
      <c r="S36" s="36"/>
      <c r="T36" s="36"/>
      <c r="U36" s="36"/>
      <c r="V36" s="36"/>
      <c r="W36" s="36"/>
      <c r="X36" s="42"/>
    </row>
    <row r="37" ht="21.75" customHeight="1">
      <c r="A37" s="1"/>
      <c r="B37" s="22"/>
      <c r="C37" s="37" t="s">
        <v>29</v>
      </c>
      <c r="D37" s="51">
        <v>1.0</v>
      </c>
      <c r="E37" s="51"/>
      <c r="F37" s="51"/>
      <c r="G37" s="50"/>
      <c r="H37" s="44"/>
      <c r="I37" s="44"/>
      <c r="J37" s="39"/>
      <c r="K37" s="39"/>
      <c r="L37" s="39"/>
      <c r="M37" s="39"/>
      <c r="N37" s="40"/>
      <c r="O37" s="40"/>
      <c r="P37" s="36"/>
      <c r="Q37" s="36"/>
      <c r="R37" s="36"/>
      <c r="S37" s="36"/>
      <c r="T37" s="36"/>
      <c r="U37" s="36"/>
      <c r="V37" s="36"/>
      <c r="W37" s="41">
        <v>1.0</v>
      </c>
      <c r="X37" s="42">
        <f>W37*30000</f>
        <v>30000</v>
      </c>
    </row>
    <row r="38" ht="32.25" customHeight="1">
      <c r="A38" s="1"/>
      <c r="B38" s="28"/>
      <c r="C38" s="37" t="s">
        <v>30</v>
      </c>
      <c r="D38" s="45"/>
      <c r="E38" s="51"/>
      <c r="F38" s="50"/>
      <c r="G38" s="50"/>
      <c r="H38" s="44"/>
      <c r="I38" s="44"/>
      <c r="J38" s="39"/>
      <c r="K38" s="39"/>
      <c r="L38" s="39"/>
      <c r="M38" s="39"/>
      <c r="N38" s="40"/>
      <c r="O38" s="40"/>
      <c r="P38" s="36"/>
      <c r="Q38" s="36"/>
      <c r="R38" s="36"/>
      <c r="S38" s="36"/>
      <c r="T38" s="36"/>
      <c r="U38" s="36"/>
      <c r="V38" s="36"/>
      <c r="W38" s="36"/>
      <c r="X38" s="42"/>
    </row>
    <row r="39" ht="27.0" customHeight="1">
      <c r="A39" s="1"/>
      <c r="B39" s="12">
        <v>11.0</v>
      </c>
      <c r="C39" s="54"/>
      <c r="D39" s="32"/>
      <c r="E39" s="32"/>
      <c r="F39" s="32"/>
      <c r="G39" s="32"/>
      <c r="H39" s="32"/>
      <c r="I39" s="32"/>
      <c r="J39" s="32"/>
      <c r="K39" s="39"/>
      <c r="L39" s="39"/>
      <c r="M39" s="39"/>
      <c r="N39" s="40"/>
      <c r="O39" s="40"/>
      <c r="P39" s="36"/>
      <c r="Q39" s="36"/>
      <c r="R39" s="36"/>
      <c r="S39" s="36"/>
      <c r="T39" s="36"/>
      <c r="U39" s="36"/>
      <c r="V39" s="36"/>
      <c r="W39" s="36"/>
      <c r="X39" s="42"/>
    </row>
    <row r="40" ht="27.0" customHeight="1">
      <c r="A40" s="1"/>
      <c r="B40" s="22"/>
      <c r="C40" s="37"/>
      <c r="D40" s="38"/>
      <c r="E40" s="38"/>
      <c r="F40" s="44"/>
      <c r="G40" s="44"/>
      <c r="H40" s="44"/>
      <c r="I40" s="44"/>
      <c r="J40" s="39"/>
      <c r="K40" s="39"/>
      <c r="L40" s="39"/>
      <c r="M40" s="39"/>
      <c r="N40" s="40"/>
      <c r="O40" s="40"/>
      <c r="P40" s="36"/>
      <c r="Q40" s="36"/>
      <c r="R40" s="36"/>
      <c r="S40" s="36"/>
      <c r="T40" s="36"/>
      <c r="U40" s="36"/>
      <c r="V40" s="36"/>
      <c r="W40" s="36"/>
      <c r="X40" s="42"/>
    </row>
    <row r="41" ht="27.0" customHeight="1">
      <c r="A41" s="1"/>
      <c r="B41" s="28"/>
      <c r="C41" s="37"/>
      <c r="D41" s="45"/>
      <c r="E41" s="50"/>
      <c r="F41" s="50"/>
      <c r="G41" s="50"/>
      <c r="H41" s="44"/>
      <c r="I41" s="44"/>
      <c r="J41" s="39"/>
      <c r="K41" s="39"/>
      <c r="L41" s="39"/>
      <c r="M41" s="39"/>
      <c r="N41" s="40"/>
      <c r="O41" s="40"/>
      <c r="P41" s="36"/>
      <c r="Q41" s="36"/>
      <c r="R41" s="36"/>
      <c r="S41" s="36"/>
      <c r="T41" s="36"/>
      <c r="U41" s="36"/>
      <c r="V41" s="36"/>
      <c r="W41" s="36"/>
      <c r="X41" s="42"/>
    </row>
    <row r="42" ht="27.0" customHeight="1">
      <c r="A42" s="1"/>
      <c r="B42" s="12">
        <v>12.0</v>
      </c>
      <c r="C42" s="54"/>
      <c r="D42" s="57"/>
      <c r="E42" s="57"/>
      <c r="F42" s="33"/>
      <c r="G42" s="33"/>
      <c r="H42" s="33"/>
      <c r="I42" s="33"/>
      <c r="J42" s="33"/>
      <c r="K42" s="33"/>
      <c r="L42" s="33"/>
      <c r="M42" s="39"/>
      <c r="N42" s="40"/>
      <c r="O42" s="40"/>
      <c r="P42" s="36"/>
      <c r="Q42" s="36"/>
      <c r="R42" s="36"/>
      <c r="S42" s="36"/>
      <c r="T42" s="36"/>
      <c r="U42" s="36"/>
      <c r="V42" s="36"/>
      <c r="W42" s="36"/>
      <c r="X42" s="42"/>
    </row>
    <row r="43" ht="27.0" customHeight="1">
      <c r="A43" s="1"/>
      <c r="B43" s="22"/>
      <c r="C43" s="37"/>
      <c r="D43" s="51"/>
      <c r="E43" s="51"/>
      <c r="F43" s="50"/>
      <c r="G43" s="50"/>
      <c r="H43" s="44"/>
      <c r="I43" s="44"/>
      <c r="J43" s="39"/>
      <c r="K43" s="39"/>
      <c r="L43" s="39"/>
      <c r="M43" s="39"/>
      <c r="N43" s="40"/>
      <c r="O43" s="40"/>
      <c r="P43" s="36"/>
      <c r="Q43" s="36"/>
      <c r="R43" s="36"/>
      <c r="S43" s="36"/>
      <c r="T43" s="36"/>
      <c r="U43" s="36"/>
      <c r="V43" s="36"/>
      <c r="W43" s="36"/>
      <c r="X43" s="42"/>
    </row>
    <row r="44" ht="27.0" customHeight="1">
      <c r="A44" s="1"/>
      <c r="B44" s="28"/>
      <c r="C44" s="37"/>
      <c r="D44" s="45"/>
      <c r="E44" s="50"/>
      <c r="F44" s="50"/>
      <c r="G44" s="50"/>
      <c r="H44" s="44"/>
      <c r="I44" s="44"/>
      <c r="J44" s="39"/>
      <c r="K44" s="39"/>
      <c r="L44" s="39"/>
      <c r="M44" s="39"/>
      <c r="N44" s="40"/>
      <c r="O44" s="40"/>
      <c r="P44" s="36"/>
      <c r="Q44" s="36"/>
      <c r="R44" s="36"/>
      <c r="S44" s="36"/>
      <c r="T44" s="36"/>
      <c r="U44" s="36"/>
      <c r="V44" s="36"/>
      <c r="W44" s="36"/>
      <c r="X44" s="42"/>
    </row>
    <row r="45" ht="27.0" customHeight="1">
      <c r="A45" s="1"/>
      <c r="B45" s="12">
        <v>13.0</v>
      </c>
      <c r="C45" s="54"/>
      <c r="D45" s="45"/>
      <c r="E45" s="45"/>
      <c r="F45" s="50"/>
      <c r="G45" s="50"/>
      <c r="H45" s="44"/>
      <c r="I45" s="44"/>
      <c r="J45" s="39"/>
      <c r="K45" s="39"/>
      <c r="L45" s="39"/>
      <c r="M45" s="39"/>
      <c r="N45" s="40"/>
      <c r="O45" s="40"/>
      <c r="P45" s="36"/>
      <c r="Q45" s="36"/>
      <c r="R45" s="36"/>
      <c r="S45" s="36"/>
      <c r="T45" s="36"/>
      <c r="U45" s="36"/>
      <c r="V45" s="36"/>
      <c r="W45" s="36"/>
      <c r="X45" s="42"/>
    </row>
    <row r="46" ht="32.25" customHeight="1">
      <c r="A46" s="1"/>
      <c r="B46" s="22"/>
      <c r="C46" s="37"/>
      <c r="D46" s="38"/>
      <c r="E46" s="38"/>
      <c r="F46" s="44"/>
      <c r="G46" s="44"/>
      <c r="H46" s="44"/>
      <c r="I46" s="44"/>
      <c r="J46" s="39"/>
      <c r="K46" s="39"/>
      <c r="L46" s="39"/>
      <c r="M46" s="39"/>
      <c r="N46" s="40"/>
      <c r="O46" s="40"/>
      <c r="P46" s="36"/>
      <c r="Q46" s="36"/>
      <c r="R46" s="36"/>
      <c r="S46" s="36"/>
      <c r="T46" s="36"/>
      <c r="U46" s="36"/>
      <c r="V46" s="36"/>
      <c r="W46" s="36"/>
      <c r="X46" s="27">
        <v>0.0</v>
      </c>
    </row>
    <row r="47" ht="32.25" customHeight="1">
      <c r="A47" s="7"/>
      <c r="B47" s="28"/>
      <c r="C47" s="37"/>
      <c r="D47" s="66"/>
      <c r="E47" s="44"/>
      <c r="F47" s="44"/>
      <c r="G47" s="44"/>
      <c r="H47" s="44"/>
      <c r="I47" s="44"/>
      <c r="J47" s="39"/>
      <c r="K47" s="39"/>
      <c r="L47" s="39"/>
      <c r="M47" s="39"/>
      <c r="N47" s="40"/>
      <c r="O47" s="40"/>
      <c r="P47" s="36"/>
      <c r="Q47" s="36"/>
      <c r="R47" s="36"/>
      <c r="S47" s="36"/>
      <c r="T47" s="36"/>
      <c r="U47" s="36"/>
      <c r="V47" s="36"/>
      <c r="W47" s="36"/>
      <c r="X47" s="42"/>
    </row>
    <row r="48">
      <c r="A48" s="1"/>
      <c r="B48" s="30" t="s">
        <v>46</v>
      </c>
      <c r="C48" s="6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T48" s="39"/>
      <c r="U48" s="39"/>
      <c r="V48" s="39"/>
      <c r="W48" s="39"/>
      <c r="X48" s="68">
        <f>SUM(X10:X47)</f>
        <v>1380000</v>
      </c>
    </row>
    <row r="49">
      <c r="A49" s="1"/>
      <c r="B49" s="30" t="s">
        <v>47</v>
      </c>
      <c r="C49" s="6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  <c r="T49" s="39"/>
      <c r="U49" s="39"/>
      <c r="V49" s="39"/>
      <c r="W49" s="39"/>
      <c r="X49" s="68">
        <f>X48-(X48*0.033)</f>
        <v>1334460</v>
      </c>
    </row>
    <row r="50">
      <c r="B50" s="40"/>
      <c r="C50" s="48"/>
      <c r="D50" s="40"/>
      <c r="E50" s="40"/>
      <c r="F50" s="40"/>
      <c r="G50" s="40"/>
      <c r="H50" s="48"/>
      <c r="I50" s="48"/>
      <c r="J50" s="48"/>
      <c r="K50" s="48"/>
      <c r="L50" s="40"/>
      <c r="M50" s="40"/>
      <c r="N50" s="40"/>
      <c r="O50" s="40"/>
      <c r="P50" s="69"/>
      <c r="Q50" s="69"/>
      <c r="R50" s="69"/>
      <c r="S50" s="69"/>
      <c r="T50" s="69"/>
      <c r="U50" s="69"/>
      <c r="V50" s="69"/>
      <c r="W50" s="69"/>
      <c r="X50" s="40"/>
    </row>
    <row r="51">
      <c r="C51" s="61"/>
      <c r="H51" s="61"/>
      <c r="I51" s="61"/>
      <c r="J51" s="61"/>
      <c r="K51" s="61"/>
    </row>
    <row r="52">
      <c r="C52" s="61"/>
      <c r="H52" s="61"/>
      <c r="I52" s="61"/>
      <c r="J52" s="61"/>
      <c r="K52" s="61"/>
    </row>
    <row r="53">
      <c r="C53" s="61"/>
      <c r="H53" s="61"/>
      <c r="I53" s="61"/>
      <c r="J53" s="61"/>
      <c r="K53" s="61"/>
    </row>
    <row r="54">
      <c r="C54" s="61"/>
      <c r="H54" s="61"/>
      <c r="I54" s="61"/>
      <c r="J54" s="61"/>
      <c r="K54" s="61"/>
    </row>
    <row r="55">
      <c r="C55" s="61"/>
      <c r="H55" s="61"/>
      <c r="I55" s="61"/>
      <c r="J55" s="61"/>
      <c r="K55" s="61"/>
    </row>
    <row r="56">
      <c r="C56" s="61"/>
      <c r="H56" s="61"/>
      <c r="I56" s="61"/>
      <c r="J56" s="61"/>
      <c r="K56" s="61"/>
    </row>
    <row r="57">
      <c r="C57" s="61"/>
      <c r="H57" s="61"/>
      <c r="I57" s="61"/>
      <c r="J57" s="61"/>
      <c r="K57" s="61"/>
    </row>
    <row r="58">
      <c r="C58" s="61"/>
      <c r="H58" s="61"/>
      <c r="I58" s="61"/>
      <c r="J58" s="61"/>
      <c r="K58" s="61"/>
    </row>
    <row r="59">
      <c r="C59" s="61"/>
      <c r="H59" s="61"/>
      <c r="I59" s="61"/>
      <c r="J59" s="61"/>
      <c r="K59" s="61"/>
    </row>
    <row r="60">
      <c r="C60" s="61"/>
      <c r="H60" s="61"/>
      <c r="I60" s="61"/>
      <c r="J60" s="61"/>
      <c r="K60" s="61"/>
    </row>
    <row r="61">
      <c r="C61" s="61"/>
      <c r="H61" s="61"/>
      <c r="I61" s="61"/>
      <c r="J61" s="61"/>
      <c r="K61" s="61"/>
    </row>
    <row r="62">
      <c r="C62" s="61"/>
      <c r="H62" s="61"/>
      <c r="I62" s="61"/>
      <c r="J62" s="61"/>
      <c r="K62" s="61"/>
    </row>
    <row r="63">
      <c r="C63" s="61"/>
      <c r="H63" s="61"/>
      <c r="I63" s="61"/>
      <c r="J63" s="61"/>
      <c r="K63" s="61"/>
    </row>
    <row r="64">
      <c r="C64" s="61"/>
      <c r="H64" s="61"/>
      <c r="I64" s="61"/>
      <c r="J64" s="61"/>
      <c r="K64" s="61"/>
    </row>
    <row r="65">
      <c r="C65" s="61"/>
      <c r="H65" s="61"/>
      <c r="I65" s="61"/>
      <c r="J65" s="61"/>
      <c r="K65" s="61"/>
    </row>
    <row r="66">
      <c r="C66" s="61"/>
      <c r="H66" s="61"/>
      <c r="I66" s="61"/>
      <c r="J66" s="61"/>
      <c r="K66" s="61"/>
    </row>
    <row r="67">
      <c r="C67" s="61"/>
      <c r="H67" s="61"/>
      <c r="I67" s="61"/>
      <c r="J67" s="61"/>
      <c r="K67" s="61"/>
    </row>
    <row r="68">
      <c r="C68" s="61"/>
      <c r="H68" s="61"/>
      <c r="I68" s="61"/>
      <c r="J68" s="61"/>
      <c r="K68" s="61"/>
    </row>
    <row r="69">
      <c r="C69" s="61"/>
      <c r="H69" s="61"/>
      <c r="I69" s="61"/>
      <c r="J69" s="61"/>
      <c r="K69" s="61"/>
    </row>
    <row r="70">
      <c r="C70" s="61"/>
      <c r="H70" s="61"/>
      <c r="I70" s="61"/>
      <c r="J70" s="61"/>
      <c r="K70" s="61"/>
    </row>
    <row r="71">
      <c r="C71" s="61"/>
      <c r="H71" s="61"/>
      <c r="I71" s="61"/>
      <c r="J71" s="61"/>
      <c r="K71" s="61"/>
    </row>
    <row r="72">
      <c r="C72" s="61"/>
      <c r="H72" s="61"/>
      <c r="I72" s="61"/>
      <c r="J72" s="61"/>
      <c r="K72" s="61"/>
    </row>
    <row r="73">
      <c r="C73" s="61"/>
      <c r="H73" s="61"/>
      <c r="I73" s="61"/>
      <c r="J73" s="61"/>
      <c r="K73" s="61"/>
    </row>
    <row r="74">
      <c r="C74" s="61"/>
      <c r="H74" s="61"/>
      <c r="I74" s="61"/>
      <c r="J74" s="61"/>
      <c r="K74" s="61"/>
    </row>
    <row r="75">
      <c r="C75" s="61"/>
      <c r="H75" s="61"/>
      <c r="I75" s="61"/>
      <c r="J75" s="61"/>
      <c r="K75" s="61"/>
    </row>
    <row r="76">
      <c r="C76" s="61"/>
      <c r="H76" s="61"/>
      <c r="I76" s="61"/>
      <c r="J76" s="61"/>
      <c r="K76" s="61"/>
    </row>
    <row r="77">
      <c r="C77" s="61"/>
      <c r="H77" s="61"/>
      <c r="I77" s="61"/>
      <c r="J77" s="61"/>
      <c r="K77" s="61"/>
    </row>
    <row r="78">
      <c r="C78" s="61"/>
      <c r="H78" s="61"/>
      <c r="I78" s="61"/>
      <c r="J78" s="61"/>
      <c r="K78" s="61"/>
    </row>
    <row r="79">
      <c r="C79" s="61"/>
      <c r="H79" s="61"/>
      <c r="I79" s="61"/>
      <c r="J79" s="61"/>
      <c r="K79" s="61"/>
    </row>
    <row r="80">
      <c r="C80" s="61"/>
      <c r="H80" s="61"/>
      <c r="I80" s="61"/>
      <c r="J80" s="61"/>
      <c r="K80" s="61"/>
    </row>
    <row r="81">
      <c r="C81" s="61"/>
      <c r="H81" s="61"/>
      <c r="I81" s="61"/>
      <c r="J81" s="61"/>
      <c r="K81" s="61"/>
    </row>
    <row r="82">
      <c r="C82" s="61"/>
      <c r="H82" s="61"/>
      <c r="I82" s="61"/>
      <c r="J82" s="61"/>
      <c r="K82" s="61"/>
    </row>
    <row r="83">
      <c r="C83" s="61"/>
      <c r="H83" s="61"/>
      <c r="I83" s="61"/>
      <c r="J83" s="61"/>
      <c r="K83" s="61"/>
    </row>
    <row r="84">
      <c r="C84" s="61"/>
      <c r="H84" s="61"/>
      <c r="I84" s="61"/>
      <c r="J84" s="61"/>
      <c r="K84" s="61"/>
    </row>
    <row r="85">
      <c r="C85" s="61"/>
      <c r="H85" s="61"/>
      <c r="I85" s="61"/>
      <c r="J85" s="61"/>
      <c r="K85" s="61"/>
    </row>
    <row r="86">
      <c r="C86" s="61"/>
      <c r="H86" s="61"/>
      <c r="I86" s="61"/>
      <c r="J86" s="61"/>
      <c r="K86" s="61"/>
    </row>
    <row r="87">
      <c r="C87" s="61"/>
      <c r="H87" s="61"/>
      <c r="I87" s="61"/>
      <c r="J87" s="61"/>
      <c r="K87" s="61"/>
    </row>
    <row r="88">
      <c r="C88" s="61"/>
      <c r="H88" s="61"/>
      <c r="I88" s="61"/>
      <c r="J88" s="61"/>
      <c r="K88" s="61"/>
    </row>
    <row r="89">
      <c r="C89" s="61"/>
      <c r="H89" s="61"/>
      <c r="I89" s="61"/>
      <c r="J89" s="61"/>
      <c r="K89" s="61"/>
    </row>
    <row r="90">
      <c r="C90" s="61"/>
      <c r="H90" s="61"/>
      <c r="I90" s="61"/>
      <c r="J90" s="61"/>
      <c r="K90" s="61"/>
    </row>
    <row r="91">
      <c r="C91" s="61"/>
      <c r="H91" s="61"/>
      <c r="I91" s="61"/>
      <c r="J91" s="61"/>
      <c r="K91" s="61"/>
    </row>
    <row r="92">
      <c r="C92" s="61"/>
      <c r="H92" s="61"/>
      <c r="I92" s="61"/>
      <c r="J92" s="61"/>
      <c r="K92" s="61"/>
    </row>
    <row r="93">
      <c r="C93" s="61"/>
      <c r="H93" s="61"/>
      <c r="I93" s="61"/>
      <c r="J93" s="61"/>
      <c r="K93" s="61"/>
    </row>
    <row r="94">
      <c r="C94" s="61"/>
      <c r="H94" s="61"/>
      <c r="I94" s="61"/>
      <c r="J94" s="61"/>
      <c r="K94" s="61"/>
    </row>
    <row r="95">
      <c r="C95" s="61"/>
      <c r="H95" s="61"/>
      <c r="I95" s="61"/>
      <c r="J95" s="61"/>
      <c r="K95" s="61"/>
    </row>
    <row r="96">
      <c r="C96" s="61"/>
      <c r="H96" s="61"/>
      <c r="I96" s="61"/>
      <c r="J96" s="61"/>
      <c r="K96" s="61"/>
    </row>
    <row r="97">
      <c r="C97" s="61"/>
      <c r="H97" s="61"/>
      <c r="I97" s="61"/>
      <c r="J97" s="61"/>
      <c r="K97" s="61"/>
    </row>
    <row r="98">
      <c r="C98" s="61"/>
      <c r="H98" s="61"/>
      <c r="I98" s="61"/>
      <c r="J98" s="61"/>
      <c r="K98" s="61"/>
    </row>
    <row r="99">
      <c r="C99" s="61"/>
      <c r="H99" s="61"/>
      <c r="I99" s="61"/>
      <c r="J99" s="61"/>
      <c r="K99" s="61"/>
    </row>
    <row r="100">
      <c r="C100" s="61"/>
      <c r="H100" s="61"/>
      <c r="I100" s="61"/>
      <c r="J100" s="61"/>
      <c r="K100" s="61"/>
    </row>
    <row r="101">
      <c r="C101" s="61"/>
      <c r="H101" s="61"/>
      <c r="I101" s="61"/>
      <c r="J101" s="61"/>
      <c r="K101" s="61"/>
    </row>
    <row r="102">
      <c r="C102" s="61"/>
      <c r="H102" s="61"/>
      <c r="I102" s="61"/>
      <c r="J102" s="61"/>
      <c r="K102" s="61"/>
    </row>
    <row r="103">
      <c r="C103" s="61"/>
      <c r="H103" s="61"/>
      <c r="I103" s="61"/>
      <c r="J103" s="61"/>
      <c r="K103" s="61"/>
    </row>
    <row r="104">
      <c r="C104" s="61"/>
      <c r="H104" s="61"/>
      <c r="I104" s="61"/>
      <c r="J104" s="61"/>
      <c r="K104" s="61"/>
    </row>
    <row r="105">
      <c r="C105" s="61"/>
      <c r="H105" s="61"/>
      <c r="I105" s="61"/>
      <c r="J105" s="61"/>
      <c r="K105" s="61"/>
    </row>
    <row r="106">
      <c r="C106" s="61"/>
      <c r="H106" s="61"/>
      <c r="I106" s="61"/>
      <c r="J106" s="61"/>
      <c r="K106" s="61"/>
    </row>
    <row r="107">
      <c r="C107" s="61"/>
      <c r="H107" s="61"/>
      <c r="I107" s="61"/>
      <c r="J107" s="61"/>
      <c r="K107" s="61"/>
    </row>
    <row r="108">
      <c r="C108" s="61"/>
      <c r="H108" s="61"/>
      <c r="I108" s="61"/>
      <c r="J108" s="61"/>
      <c r="K108" s="61"/>
    </row>
    <row r="109">
      <c r="C109" s="61"/>
      <c r="H109" s="61"/>
      <c r="I109" s="61"/>
      <c r="J109" s="61"/>
      <c r="K109" s="61"/>
    </row>
    <row r="110">
      <c r="C110" s="61"/>
      <c r="H110" s="61"/>
      <c r="I110" s="61"/>
      <c r="J110" s="61"/>
      <c r="K110" s="61"/>
    </row>
    <row r="111">
      <c r="C111" s="61"/>
      <c r="H111" s="61"/>
      <c r="I111" s="61"/>
      <c r="J111" s="61"/>
      <c r="K111" s="61"/>
    </row>
    <row r="112">
      <c r="C112" s="61"/>
      <c r="H112" s="61"/>
      <c r="I112" s="61"/>
      <c r="J112" s="61"/>
      <c r="K112" s="61"/>
    </row>
    <row r="113">
      <c r="C113" s="61"/>
      <c r="H113" s="61"/>
      <c r="I113" s="61"/>
      <c r="J113" s="61"/>
      <c r="K113" s="61"/>
    </row>
    <row r="114">
      <c r="C114" s="61"/>
      <c r="H114" s="61"/>
      <c r="I114" s="61"/>
      <c r="J114" s="61"/>
      <c r="K114" s="61"/>
    </row>
    <row r="115">
      <c r="C115" s="61"/>
      <c r="H115" s="61"/>
      <c r="I115" s="61"/>
      <c r="J115" s="61"/>
      <c r="K115" s="61"/>
    </row>
    <row r="116">
      <c r="C116" s="61"/>
      <c r="H116" s="61"/>
      <c r="I116" s="61"/>
      <c r="J116" s="61"/>
      <c r="K116" s="61"/>
    </row>
    <row r="117">
      <c r="C117" s="61"/>
      <c r="H117" s="61"/>
      <c r="I117" s="61"/>
      <c r="J117" s="61"/>
      <c r="K117" s="61"/>
    </row>
    <row r="118">
      <c r="C118" s="61"/>
      <c r="H118" s="61"/>
      <c r="I118" s="61"/>
      <c r="J118" s="61"/>
      <c r="K118" s="61"/>
    </row>
    <row r="119">
      <c r="C119" s="61"/>
      <c r="H119" s="61"/>
      <c r="I119" s="61"/>
      <c r="J119" s="61"/>
      <c r="K119" s="61"/>
    </row>
    <row r="120">
      <c r="C120" s="61"/>
      <c r="H120" s="61"/>
      <c r="I120" s="61"/>
      <c r="J120" s="61"/>
      <c r="K120" s="61"/>
    </row>
    <row r="121">
      <c r="C121" s="61"/>
      <c r="H121" s="61"/>
      <c r="I121" s="61"/>
      <c r="J121" s="61"/>
      <c r="K121" s="61"/>
    </row>
    <row r="122">
      <c r="C122" s="61"/>
      <c r="H122" s="61"/>
      <c r="I122" s="61"/>
      <c r="J122" s="61"/>
      <c r="K122" s="61"/>
    </row>
    <row r="123">
      <c r="C123" s="61"/>
      <c r="H123" s="61"/>
      <c r="I123" s="61"/>
      <c r="J123" s="61"/>
      <c r="K123" s="61"/>
    </row>
    <row r="124">
      <c r="C124" s="61"/>
      <c r="H124" s="61"/>
      <c r="I124" s="61"/>
      <c r="J124" s="61"/>
      <c r="K124" s="61"/>
    </row>
    <row r="125">
      <c r="C125" s="61"/>
      <c r="H125" s="61"/>
      <c r="I125" s="61"/>
      <c r="J125" s="61"/>
      <c r="K125" s="61"/>
    </row>
    <row r="126">
      <c r="C126" s="61"/>
      <c r="H126" s="61"/>
      <c r="I126" s="61"/>
      <c r="J126" s="61"/>
      <c r="K126" s="61"/>
    </row>
    <row r="127">
      <c r="C127" s="61"/>
      <c r="H127" s="61"/>
      <c r="I127" s="61"/>
      <c r="J127" s="61"/>
      <c r="K127" s="61"/>
    </row>
    <row r="128">
      <c r="C128" s="61"/>
      <c r="H128" s="61"/>
      <c r="I128" s="61"/>
      <c r="J128" s="61"/>
      <c r="K128" s="61"/>
    </row>
    <row r="129">
      <c r="C129" s="61"/>
      <c r="H129" s="61"/>
      <c r="I129" s="61"/>
      <c r="J129" s="61"/>
      <c r="K129" s="61"/>
    </row>
    <row r="130">
      <c r="C130" s="61"/>
      <c r="H130" s="61"/>
      <c r="I130" s="61"/>
      <c r="J130" s="61"/>
      <c r="K130" s="61"/>
    </row>
    <row r="131">
      <c r="C131" s="61"/>
      <c r="H131" s="61"/>
      <c r="I131" s="61"/>
      <c r="J131" s="61"/>
      <c r="K131" s="61"/>
    </row>
    <row r="132">
      <c r="C132" s="61"/>
      <c r="H132" s="61"/>
      <c r="I132" s="61"/>
      <c r="J132" s="61"/>
      <c r="K132" s="61"/>
    </row>
    <row r="133">
      <c r="C133" s="61"/>
      <c r="H133" s="61"/>
      <c r="I133" s="61"/>
      <c r="J133" s="61"/>
      <c r="K133" s="61"/>
    </row>
    <row r="134">
      <c r="C134" s="61"/>
      <c r="H134" s="61"/>
      <c r="I134" s="61"/>
      <c r="J134" s="61"/>
      <c r="K134" s="61"/>
    </row>
    <row r="135">
      <c r="C135" s="61"/>
      <c r="H135" s="61"/>
      <c r="I135" s="61"/>
      <c r="J135" s="61"/>
      <c r="K135" s="61"/>
    </row>
    <row r="136">
      <c r="C136" s="61"/>
      <c r="H136" s="61"/>
      <c r="I136" s="61"/>
      <c r="J136" s="61"/>
      <c r="K136" s="61"/>
    </row>
    <row r="137">
      <c r="C137" s="61"/>
      <c r="H137" s="61"/>
      <c r="I137" s="61"/>
      <c r="J137" s="61"/>
      <c r="K137" s="61"/>
    </row>
    <row r="138">
      <c r="C138" s="61"/>
      <c r="H138" s="61"/>
      <c r="I138" s="61"/>
      <c r="J138" s="61"/>
      <c r="K138" s="61"/>
    </row>
    <row r="139">
      <c r="C139" s="61"/>
      <c r="H139" s="61"/>
      <c r="I139" s="61"/>
      <c r="J139" s="61"/>
      <c r="K139" s="61"/>
    </row>
    <row r="140">
      <c r="C140" s="61"/>
      <c r="H140" s="61"/>
      <c r="I140" s="61"/>
      <c r="J140" s="61"/>
      <c r="K140" s="61"/>
    </row>
    <row r="141">
      <c r="C141" s="61"/>
      <c r="H141" s="61"/>
      <c r="I141" s="61"/>
      <c r="J141" s="61"/>
      <c r="K141" s="61"/>
    </row>
    <row r="142">
      <c r="C142" s="61"/>
      <c r="H142" s="61"/>
      <c r="I142" s="61"/>
      <c r="J142" s="61"/>
      <c r="K142" s="61"/>
    </row>
    <row r="143">
      <c r="C143" s="61"/>
      <c r="H143" s="61"/>
      <c r="I143" s="61"/>
      <c r="J143" s="61"/>
      <c r="K143" s="61"/>
    </row>
    <row r="144">
      <c r="C144" s="61"/>
      <c r="H144" s="61"/>
      <c r="I144" s="61"/>
      <c r="J144" s="61"/>
      <c r="K144" s="61"/>
    </row>
    <row r="145">
      <c r="C145" s="61"/>
      <c r="H145" s="61"/>
      <c r="I145" s="61"/>
      <c r="J145" s="61"/>
      <c r="K145" s="61"/>
    </row>
    <row r="146">
      <c r="C146" s="61"/>
      <c r="H146" s="61"/>
      <c r="I146" s="61"/>
      <c r="J146" s="61"/>
      <c r="K146" s="61"/>
    </row>
    <row r="147">
      <c r="C147" s="61"/>
      <c r="H147" s="61"/>
      <c r="I147" s="61"/>
      <c r="J147" s="61"/>
      <c r="K147" s="61"/>
    </row>
    <row r="148">
      <c r="C148" s="61"/>
      <c r="H148" s="61"/>
      <c r="I148" s="61"/>
      <c r="J148" s="61"/>
      <c r="K148" s="61"/>
    </row>
    <row r="149">
      <c r="C149" s="61"/>
      <c r="H149" s="61"/>
      <c r="I149" s="61"/>
      <c r="J149" s="61"/>
      <c r="K149" s="61"/>
    </row>
    <row r="150">
      <c r="C150" s="61"/>
      <c r="H150" s="61"/>
      <c r="I150" s="61"/>
      <c r="J150" s="61"/>
      <c r="K150" s="61"/>
    </row>
    <row r="151">
      <c r="C151" s="61"/>
      <c r="H151" s="61"/>
      <c r="I151" s="61"/>
      <c r="J151" s="61"/>
      <c r="K151" s="61"/>
    </row>
    <row r="152">
      <c r="C152" s="61"/>
      <c r="H152" s="61"/>
      <c r="I152" s="61"/>
      <c r="J152" s="61"/>
      <c r="K152" s="61"/>
    </row>
    <row r="153">
      <c r="C153" s="61"/>
      <c r="H153" s="61"/>
      <c r="I153" s="61"/>
      <c r="J153" s="61"/>
      <c r="K153" s="61"/>
    </row>
    <row r="154">
      <c r="C154" s="61"/>
      <c r="H154" s="61"/>
      <c r="I154" s="61"/>
      <c r="J154" s="61"/>
      <c r="K154" s="61"/>
    </row>
    <row r="155">
      <c r="C155" s="61"/>
      <c r="H155" s="61"/>
      <c r="I155" s="61"/>
      <c r="J155" s="61"/>
      <c r="K155" s="61"/>
    </row>
    <row r="156">
      <c r="C156" s="61"/>
      <c r="H156" s="61"/>
      <c r="I156" s="61"/>
      <c r="J156" s="61"/>
      <c r="K156" s="61"/>
    </row>
    <row r="157">
      <c r="C157" s="61"/>
      <c r="H157" s="61"/>
      <c r="I157" s="61"/>
      <c r="J157" s="61"/>
      <c r="K157" s="61"/>
    </row>
    <row r="158">
      <c r="C158" s="61"/>
      <c r="H158" s="61"/>
      <c r="I158" s="61"/>
      <c r="J158" s="61"/>
      <c r="K158" s="61"/>
    </row>
    <row r="159">
      <c r="C159" s="61"/>
      <c r="H159" s="61"/>
      <c r="I159" s="61"/>
      <c r="J159" s="61"/>
      <c r="K159" s="61"/>
    </row>
    <row r="160">
      <c r="C160" s="61"/>
      <c r="H160" s="61"/>
      <c r="I160" s="61"/>
      <c r="J160" s="61"/>
      <c r="K160" s="61"/>
    </row>
    <row r="161">
      <c r="C161" s="61"/>
      <c r="H161" s="61"/>
      <c r="I161" s="61"/>
      <c r="J161" s="61"/>
      <c r="K161" s="61"/>
    </row>
    <row r="162">
      <c r="C162" s="61"/>
      <c r="H162" s="61"/>
      <c r="I162" s="61"/>
      <c r="J162" s="61"/>
      <c r="K162" s="61"/>
    </row>
    <row r="163">
      <c r="C163" s="61"/>
      <c r="H163" s="61"/>
      <c r="I163" s="61"/>
      <c r="J163" s="61"/>
      <c r="K163" s="61"/>
    </row>
    <row r="164">
      <c r="C164" s="61"/>
      <c r="H164" s="61"/>
      <c r="I164" s="61"/>
      <c r="J164" s="61"/>
      <c r="K164" s="61"/>
    </row>
    <row r="165">
      <c r="C165" s="61"/>
      <c r="H165" s="61"/>
      <c r="I165" s="61"/>
      <c r="J165" s="61"/>
      <c r="K165" s="61"/>
    </row>
    <row r="166">
      <c r="C166" s="61"/>
      <c r="H166" s="61"/>
      <c r="I166" s="61"/>
      <c r="J166" s="61"/>
      <c r="K166" s="61"/>
    </row>
    <row r="167">
      <c r="C167" s="61"/>
      <c r="H167" s="61"/>
      <c r="I167" s="61"/>
      <c r="J167" s="61"/>
      <c r="K167" s="61"/>
    </row>
    <row r="168">
      <c r="C168" s="61"/>
      <c r="H168" s="61"/>
      <c r="I168" s="61"/>
      <c r="J168" s="61"/>
      <c r="K168" s="61"/>
    </row>
    <row r="169">
      <c r="C169" s="61"/>
      <c r="H169" s="61"/>
      <c r="I169" s="61"/>
      <c r="J169" s="61"/>
      <c r="K169" s="61"/>
    </row>
    <row r="170">
      <c r="C170" s="61"/>
      <c r="H170" s="61"/>
      <c r="I170" s="61"/>
      <c r="J170" s="61"/>
      <c r="K170" s="61"/>
    </row>
    <row r="171">
      <c r="C171" s="61"/>
      <c r="H171" s="61"/>
      <c r="I171" s="61"/>
      <c r="J171" s="61"/>
      <c r="K171" s="61"/>
    </row>
    <row r="172">
      <c r="C172" s="61"/>
      <c r="H172" s="61"/>
      <c r="I172" s="61"/>
      <c r="J172" s="61"/>
      <c r="K172" s="61"/>
    </row>
    <row r="173">
      <c r="C173" s="61"/>
      <c r="H173" s="61"/>
      <c r="I173" s="61"/>
      <c r="J173" s="61"/>
      <c r="K173" s="61"/>
    </row>
    <row r="174">
      <c r="C174" s="61"/>
      <c r="H174" s="61"/>
      <c r="I174" s="61"/>
      <c r="J174" s="61"/>
      <c r="K174" s="61"/>
    </row>
    <row r="175">
      <c r="C175" s="61"/>
      <c r="H175" s="61"/>
      <c r="I175" s="61"/>
      <c r="J175" s="61"/>
      <c r="K175" s="61"/>
    </row>
    <row r="176">
      <c r="C176" s="61"/>
      <c r="H176" s="61"/>
      <c r="I176" s="61"/>
      <c r="J176" s="61"/>
      <c r="K176" s="61"/>
    </row>
    <row r="177">
      <c r="C177" s="61"/>
      <c r="H177" s="61"/>
      <c r="I177" s="61"/>
      <c r="J177" s="61"/>
      <c r="K177" s="61"/>
    </row>
    <row r="178">
      <c r="C178" s="61"/>
      <c r="H178" s="61"/>
      <c r="I178" s="61"/>
      <c r="J178" s="61"/>
      <c r="K178" s="61"/>
    </row>
    <row r="179">
      <c r="C179" s="61"/>
      <c r="H179" s="61"/>
      <c r="I179" s="61"/>
      <c r="J179" s="61"/>
      <c r="K179" s="61"/>
    </row>
    <row r="180">
      <c r="C180" s="61"/>
      <c r="H180" s="61"/>
      <c r="I180" s="61"/>
      <c r="J180" s="61"/>
      <c r="K180" s="61"/>
    </row>
    <row r="181">
      <c r="C181" s="61"/>
      <c r="H181" s="61"/>
      <c r="I181" s="61"/>
      <c r="J181" s="61"/>
      <c r="K181" s="61"/>
    </row>
    <row r="182">
      <c r="C182" s="61"/>
      <c r="H182" s="61"/>
      <c r="I182" s="61"/>
      <c r="J182" s="61"/>
      <c r="K182" s="61"/>
    </row>
    <row r="183">
      <c r="C183" s="61"/>
      <c r="H183" s="61"/>
      <c r="I183" s="61"/>
      <c r="J183" s="61"/>
      <c r="K183" s="61"/>
    </row>
    <row r="184">
      <c r="C184" s="61"/>
      <c r="H184" s="61"/>
      <c r="I184" s="61"/>
      <c r="J184" s="61"/>
      <c r="K184" s="61"/>
    </row>
    <row r="185">
      <c r="C185" s="61"/>
      <c r="H185" s="61"/>
      <c r="I185" s="61"/>
      <c r="J185" s="61"/>
      <c r="K185" s="61"/>
    </row>
    <row r="186">
      <c r="C186" s="61"/>
      <c r="H186" s="61"/>
      <c r="I186" s="61"/>
      <c r="J186" s="61"/>
      <c r="K186" s="61"/>
    </row>
    <row r="187">
      <c r="C187" s="61"/>
      <c r="H187" s="61"/>
      <c r="I187" s="61"/>
      <c r="J187" s="61"/>
      <c r="K187" s="61"/>
    </row>
    <row r="188">
      <c r="C188" s="61"/>
      <c r="H188" s="61"/>
      <c r="I188" s="61"/>
      <c r="J188" s="61"/>
      <c r="K188" s="61"/>
    </row>
    <row r="189">
      <c r="C189" s="61"/>
      <c r="H189" s="61"/>
      <c r="I189" s="61"/>
      <c r="J189" s="61"/>
      <c r="K189" s="61"/>
    </row>
    <row r="190">
      <c r="C190" s="61"/>
      <c r="H190" s="61"/>
      <c r="I190" s="61"/>
      <c r="J190" s="61"/>
      <c r="K190" s="61"/>
    </row>
    <row r="191">
      <c r="C191" s="61"/>
      <c r="H191" s="61"/>
      <c r="I191" s="61"/>
      <c r="J191" s="61"/>
      <c r="K191" s="61"/>
    </row>
    <row r="192">
      <c r="C192" s="61"/>
      <c r="H192" s="61"/>
      <c r="I192" s="61"/>
      <c r="J192" s="61"/>
      <c r="K192" s="61"/>
    </row>
    <row r="193">
      <c r="C193" s="61"/>
      <c r="H193" s="61"/>
      <c r="I193" s="61"/>
      <c r="J193" s="61"/>
      <c r="K193" s="61"/>
    </row>
    <row r="194">
      <c r="C194" s="61"/>
      <c r="H194" s="61"/>
      <c r="I194" s="61"/>
      <c r="J194" s="61"/>
      <c r="K194" s="61"/>
    </row>
    <row r="195">
      <c r="C195" s="61"/>
      <c r="H195" s="61"/>
      <c r="I195" s="61"/>
      <c r="J195" s="61"/>
      <c r="K195" s="61"/>
    </row>
    <row r="196">
      <c r="C196" s="61"/>
      <c r="H196" s="61"/>
      <c r="I196" s="61"/>
      <c r="J196" s="61"/>
      <c r="K196" s="61"/>
    </row>
    <row r="197">
      <c r="C197" s="61"/>
      <c r="H197" s="61"/>
      <c r="I197" s="61"/>
      <c r="J197" s="61"/>
      <c r="K197" s="61"/>
    </row>
    <row r="198">
      <c r="C198" s="61"/>
      <c r="H198" s="61"/>
      <c r="I198" s="61"/>
      <c r="J198" s="61"/>
      <c r="K198" s="61"/>
    </row>
    <row r="199">
      <c r="C199" s="61"/>
      <c r="H199" s="61"/>
      <c r="I199" s="61"/>
      <c r="J199" s="61"/>
      <c r="K199" s="61"/>
    </row>
    <row r="200">
      <c r="C200" s="61"/>
      <c r="H200" s="61"/>
      <c r="I200" s="61"/>
      <c r="J200" s="61"/>
      <c r="K200" s="61"/>
    </row>
    <row r="201">
      <c r="C201" s="61"/>
      <c r="H201" s="61"/>
      <c r="I201" s="61"/>
      <c r="J201" s="61"/>
      <c r="K201" s="61"/>
    </row>
    <row r="202">
      <c r="C202" s="61"/>
      <c r="H202" s="61"/>
      <c r="I202" s="61"/>
      <c r="J202" s="61"/>
      <c r="K202" s="61"/>
    </row>
    <row r="203">
      <c r="C203" s="61"/>
      <c r="H203" s="61"/>
      <c r="I203" s="61"/>
      <c r="J203" s="61"/>
      <c r="K203" s="61"/>
    </row>
    <row r="204">
      <c r="C204" s="61"/>
      <c r="H204" s="61"/>
      <c r="I204" s="61"/>
      <c r="J204" s="61"/>
      <c r="K204" s="61"/>
    </row>
    <row r="205">
      <c r="C205" s="61"/>
      <c r="H205" s="61"/>
      <c r="I205" s="61"/>
      <c r="J205" s="61"/>
      <c r="K205" s="61"/>
    </row>
    <row r="206">
      <c r="C206" s="61"/>
      <c r="H206" s="61"/>
      <c r="I206" s="61"/>
      <c r="J206" s="61"/>
      <c r="K206" s="61"/>
    </row>
    <row r="207">
      <c r="C207" s="61"/>
      <c r="H207" s="61"/>
      <c r="I207" s="61"/>
      <c r="J207" s="61"/>
      <c r="K207" s="61"/>
    </row>
    <row r="208">
      <c r="C208" s="61"/>
      <c r="H208" s="61"/>
      <c r="I208" s="61"/>
      <c r="J208" s="61"/>
      <c r="K208" s="61"/>
    </row>
    <row r="209">
      <c r="C209" s="61"/>
      <c r="H209" s="61"/>
      <c r="I209" s="61"/>
      <c r="J209" s="61"/>
      <c r="K209" s="61"/>
    </row>
    <row r="210">
      <c r="C210" s="61"/>
      <c r="H210" s="61"/>
      <c r="I210" s="61"/>
      <c r="J210" s="61"/>
      <c r="K210" s="61"/>
    </row>
    <row r="211">
      <c r="C211" s="61"/>
      <c r="H211" s="61"/>
      <c r="I211" s="61"/>
      <c r="J211" s="61"/>
      <c r="K211" s="61"/>
    </row>
    <row r="212">
      <c r="C212" s="61"/>
      <c r="H212" s="61"/>
      <c r="I212" s="61"/>
      <c r="J212" s="61"/>
      <c r="K212" s="61"/>
    </row>
    <row r="213">
      <c r="C213" s="61"/>
      <c r="H213" s="61"/>
      <c r="I213" s="61"/>
      <c r="J213" s="61"/>
      <c r="K213" s="61"/>
    </row>
    <row r="214">
      <c r="C214" s="61"/>
      <c r="H214" s="61"/>
      <c r="I214" s="61"/>
      <c r="J214" s="61"/>
      <c r="K214" s="61"/>
    </row>
    <row r="215">
      <c r="C215" s="61"/>
      <c r="H215" s="61"/>
      <c r="I215" s="61"/>
      <c r="J215" s="61"/>
      <c r="K215" s="61"/>
    </row>
    <row r="216">
      <c r="C216" s="61"/>
      <c r="H216" s="61"/>
      <c r="I216" s="61"/>
      <c r="J216" s="61"/>
      <c r="K216" s="61"/>
    </row>
    <row r="217">
      <c r="C217" s="61"/>
      <c r="H217" s="61"/>
      <c r="I217" s="61"/>
      <c r="J217" s="61"/>
      <c r="K217" s="61"/>
    </row>
    <row r="218">
      <c r="C218" s="61"/>
      <c r="H218" s="61"/>
      <c r="I218" s="61"/>
      <c r="J218" s="61"/>
      <c r="K218" s="61"/>
    </row>
    <row r="219">
      <c r="C219" s="61"/>
      <c r="H219" s="61"/>
      <c r="I219" s="61"/>
      <c r="J219" s="61"/>
      <c r="K219" s="61"/>
    </row>
    <row r="220">
      <c r="C220" s="61"/>
      <c r="H220" s="61"/>
      <c r="I220" s="61"/>
      <c r="J220" s="61"/>
      <c r="K220" s="61"/>
    </row>
    <row r="221">
      <c r="C221" s="61"/>
      <c r="H221" s="61"/>
      <c r="I221" s="61"/>
      <c r="J221" s="61"/>
      <c r="K221" s="61"/>
    </row>
    <row r="222">
      <c r="C222" s="61"/>
      <c r="H222" s="61"/>
      <c r="I222" s="61"/>
      <c r="J222" s="61"/>
      <c r="K222" s="61"/>
    </row>
    <row r="223">
      <c r="C223" s="61"/>
      <c r="H223" s="61"/>
      <c r="I223" s="61"/>
      <c r="J223" s="61"/>
      <c r="K223" s="61"/>
    </row>
    <row r="224">
      <c r="C224" s="61"/>
      <c r="H224" s="61"/>
      <c r="I224" s="61"/>
      <c r="J224" s="61"/>
      <c r="K224" s="61"/>
    </row>
    <row r="225">
      <c r="C225" s="61"/>
      <c r="H225" s="61"/>
      <c r="I225" s="61"/>
      <c r="J225" s="61"/>
      <c r="K225" s="61"/>
    </row>
    <row r="226">
      <c r="C226" s="61"/>
      <c r="H226" s="61"/>
      <c r="I226" s="61"/>
      <c r="J226" s="61"/>
      <c r="K226" s="61"/>
    </row>
    <row r="227">
      <c r="C227" s="61"/>
      <c r="H227" s="61"/>
      <c r="I227" s="61"/>
      <c r="J227" s="61"/>
      <c r="K227" s="61"/>
    </row>
    <row r="228">
      <c r="C228" s="61"/>
      <c r="H228" s="61"/>
      <c r="I228" s="61"/>
      <c r="J228" s="61"/>
      <c r="K228" s="61"/>
    </row>
    <row r="229">
      <c r="C229" s="61"/>
      <c r="H229" s="61"/>
      <c r="I229" s="61"/>
      <c r="J229" s="61"/>
      <c r="K229" s="61"/>
    </row>
    <row r="230">
      <c r="C230" s="61"/>
      <c r="H230" s="61"/>
      <c r="I230" s="61"/>
      <c r="J230" s="61"/>
      <c r="K230" s="61"/>
    </row>
    <row r="231">
      <c r="C231" s="61"/>
      <c r="H231" s="61"/>
      <c r="I231" s="61"/>
      <c r="J231" s="61"/>
      <c r="K231" s="61"/>
    </row>
    <row r="232">
      <c r="C232" s="61"/>
      <c r="H232" s="61"/>
      <c r="I232" s="61"/>
      <c r="J232" s="61"/>
      <c r="K232" s="61"/>
    </row>
    <row r="233">
      <c r="C233" s="61"/>
      <c r="H233" s="61"/>
      <c r="I233" s="61"/>
      <c r="J233" s="61"/>
      <c r="K233" s="61"/>
    </row>
    <row r="234">
      <c r="C234" s="61"/>
      <c r="H234" s="61"/>
      <c r="I234" s="61"/>
      <c r="J234" s="61"/>
      <c r="K234" s="61"/>
    </row>
    <row r="235">
      <c r="C235" s="61"/>
      <c r="H235" s="61"/>
      <c r="I235" s="61"/>
      <c r="J235" s="61"/>
      <c r="K235" s="61"/>
    </row>
    <row r="236">
      <c r="C236" s="61"/>
      <c r="H236" s="61"/>
      <c r="I236" s="61"/>
      <c r="J236" s="61"/>
      <c r="K236" s="61"/>
    </row>
    <row r="237">
      <c r="C237" s="61"/>
      <c r="H237" s="61"/>
      <c r="I237" s="61"/>
      <c r="J237" s="61"/>
      <c r="K237" s="61"/>
    </row>
    <row r="238">
      <c r="C238" s="61"/>
      <c r="H238" s="61"/>
      <c r="I238" s="61"/>
      <c r="J238" s="61"/>
      <c r="K238" s="61"/>
    </row>
    <row r="239">
      <c r="C239" s="61"/>
      <c r="H239" s="61"/>
      <c r="I239" s="61"/>
      <c r="J239" s="61"/>
      <c r="K239" s="61"/>
    </row>
    <row r="240">
      <c r="C240" s="61"/>
      <c r="H240" s="61"/>
      <c r="I240" s="61"/>
      <c r="J240" s="61"/>
      <c r="K240" s="61"/>
    </row>
    <row r="241">
      <c r="C241" s="61"/>
      <c r="H241" s="61"/>
      <c r="I241" s="61"/>
      <c r="J241" s="61"/>
      <c r="K241" s="61"/>
    </row>
    <row r="242">
      <c r="C242" s="61"/>
      <c r="H242" s="61"/>
      <c r="I242" s="61"/>
      <c r="J242" s="61"/>
      <c r="K242" s="61"/>
    </row>
    <row r="243">
      <c r="C243" s="61"/>
      <c r="H243" s="61"/>
      <c r="I243" s="61"/>
      <c r="J243" s="61"/>
      <c r="K243" s="61"/>
    </row>
    <row r="244">
      <c r="C244" s="61"/>
      <c r="H244" s="61"/>
      <c r="I244" s="61"/>
      <c r="J244" s="61"/>
      <c r="K244" s="61"/>
    </row>
    <row r="245">
      <c r="C245" s="61"/>
      <c r="H245" s="61"/>
      <c r="I245" s="61"/>
      <c r="J245" s="61"/>
      <c r="K245" s="61"/>
    </row>
    <row r="246">
      <c r="C246" s="61"/>
      <c r="H246" s="61"/>
      <c r="I246" s="61"/>
      <c r="J246" s="61"/>
      <c r="K246" s="61"/>
    </row>
    <row r="247">
      <c r="C247" s="61"/>
      <c r="H247" s="61"/>
      <c r="I247" s="61"/>
      <c r="J247" s="61"/>
      <c r="K247" s="61"/>
    </row>
    <row r="248">
      <c r="C248" s="61"/>
      <c r="H248" s="61"/>
      <c r="I248" s="61"/>
      <c r="J248" s="61"/>
      <c r="K248" s="61"/>
    </row>
    <row r="249">
      <c r="C249" s="61"/>
      <c r="H249" s="61"/>
      <c r="I249" s="61"/>
      <c r="J249" s="61"/>
      <c r="K249" s="61"/>
    </row>
    <row r="250">
      <c r="C250" s="61"/>
      <c r="H250" s="61"/>
      <c r="I250" s="61"/>
      <c r="J250" s="61"/>
      <c r="K250" s="61"/>
    </row>
    <row r="251">
      <c r="C251" s="61"/>
      <c r="H251" s="61"/>
      <c r="I251" s="61"/>
      <c r="J251" s="61"/>
      <c r="K251" s="61"/>
    </row>
    <row r="252">
      <c r="C252" s="61"/>
      <c r="H252" s="61"/>
      <c r="I252" s="61"/>
      <c r="J252" s="61"/>
      <c r="K252" s="61"/>
    </row>
    <row r="253">
      <c r="C253" s="61"/>
      <c r="H253" s="61"/>
      <c r="I253" s="61"/>
      <c r="J253" s="61"/>
      <c r="K253" s="61"/>
    </row>
    <row r="254">
      <c r="C254" s="61"/>
      <c r="H254" s="61"/>
      <c r="I254" s="61"/>
      <c r="J254" s="61"/>
      <c r="K254" s="61"/>
    </row>
    <row r="255">
      <c r="C255" s="61"/>
      <c r="H255" s="61"/>
      <c r="I255" s="61"/>
      <c r="J255" s="61"/>
      <c r="K255" s="61"/>
    </row>
    <row r="256">
      <c r="C256" s="61"/>
      <c r="H256" s="61"/>
      <c r="I256" s="61"/>
      <c r="J256" s="61"/>
      <c r="K256" s="61"/>
    </row>
    <row r="257">
      <c r="C257" s="61"/>
      <c r="H257" s="61"/>
      <c r="I257" s="61"/>
      <c r="J257" s="61"/>
      <c r="K257" s="61"/>
    </row>
    <row r="258">
      <c r="C258" s="61"/>
      <c r="H258" s="61"/>
      <c r="I258" s="61"/>
      <c r="J258" s="61"/>
      <c r="K258" s="61"/>
    </row>
    <row r="259">
      <c r="C259" s="61"/>
      <c r="H259" s="61"/>
      <c r="I259" s="61"/>
      <c r="J259" s="61"/>
      <c r="K259" s="61"/>
    </row>
    <row r="260">
      <c r="C260" s="61"/>
      <c r="H260" s="61"/>
      <c r="I260" s="61"/>
      <c r="J260" s="61"/>
      <c r="K260" s="61"/>
    </row>
    <row r="261">
      <c r="C261" s="61"/>
      <c r="H261" s="61"/>
      <c r="I261" s="61"/>
      <c r="J261" s="61"/>
      <c r="K261" s="61"/>
    </row>
    <row r="262">
      <c r="C262" s="61"/>
      <c r="H262" s="61"/>
      <c r="I262" s="61"/>
      <c r="J262" s="61"/>
      <c r="K262" s="61"/>
    </row>
    <row r="263">
      <c r="C263" s="61"/>
      <c r="H263" s="61"/>
      <c r="I263" s="61"/>
      <c r="J263" s="61"/>
      <c r="K263" s="61"/>
    </row>
    <row r="264">
      <c r="C264" s="61"/>
      <c r="H264" s="61"/>
      <c r="I264" s="61"/>
      <c r="J264" s="61"/>
      <c r="K264" s="61"/>
    </row>
    <row r="265">
      <c r="C265" s="61"/>
      <c r="H265" s="61"/>
      <c r="I265" s="61"/>
      <c r="J265" s="61"/>
      <c r="K265" s="61"/>
    </row>
    <row r="266">
      <c r="C266" s="61"/>
      <c r="H266" s="61"/>
      <c r="I266" s="61"/>
      <c r="J266" s="61"/>
      <c r="K266" s="61"/>
    </row>
    <row r="267">
      <c r="C267" s="61"/>
      <c r="H267" s="61"/>
      <c r="I267" s="61"/>
      <c r="J267" s="61"/>
      <c r="K267" s="61"/>
    </row>
    <row r="268">
      <c r="C268" s="61"/>
      <c r="H268" s="61"/>
      <c r="I268" s="61"/>
      <c r="J268" s="61"/>
      <c r="K268" s="61"/>
    </row>
    <row r="269">
      <c r="C269" s="61"/>
      <c r="H269" s="61"/>
      <c r="I269" s="61"/>
      <c r="J269" s="61"/>
      <c r="K269" s="61"/>
    </row>
    <row r="270">
      <c r="C270" s="61"/>
      <c r="H270" s="61"/>
      <c r="I270" s="61"/>
      <c r="J270" s="61"/>
      <c r="K270" s="61"/>
    </row>
    <row r="271">
      <c r="C271" s="61"/>
      <c r="H271" s="61"/>
      <c r="I271" s="61"/>
      <c r="J271" s="61"/>
      <c r="K271" s="61"/>
    </row>
    <row r="272">
      <c r="C272" s="61"/>
      <c r="H272" s="61"/>
      <c r="I272" s="61"/>
      <c r="J272" s="61"/>
      <c r="K272" s="61"/>
    </row>
    <row r="273">
      <c r="C273" s="61"/>
      <c r="H273" s="61"/>
      <c r="I273" s="61"/>
      <c r="J273" s="61"/>
      <c r="K273" s="61"/>
    </row>
    <row r="274">
      <c r="C274" s="61"/>
      <c r="H274" s="61"/>
      <c r="I274" s="61"/>
      <c r="J274" s="61"/>
      <c r="K274" s="61"/>
    </row>
    <row r="275">
      <c r="C275" s="61"/>
      <c r="H275" s="61"/>
      <c r="I275" s="61"/>
      <c r="J275" s="61"/>
      <c r="K275" s="61"/>
    </row>
    <row r="276">
      <c r="C276" s="61"/>
      <c r="H276" s="61"/>
      <c r="I276" s="61"/>
      <c r="J276" s="61"/>
      <c r="K276" s="61"/>
    </row>
    <row r="277">
      <c r="C277" s="61"/>
      <c r="H277" s="61"/>
      <c r="I277" s="61"/>
      <c r="J277" s="61"/>
      <c r="K277" s="61"/>
    </row>
    <row r="278">
      <c r="C278" s="61"/>
      <c r="H278" s="61"/>
      <c r="I278" s="61"/>
      <c r="J278" s="61"/>
      <c r="K278" s="61"/>
    </row>
    <row r="279">
      <c r="C279" s="61"/>
      <c r="H279" s="61"/>
      <c r="I279" s="61"/>
      <c r="J279" s="61"/>
      <c r="K279" s="61"/>
    </row>
    <row r="280">
      <c r="C280" s="61"/>
      <c r="H280" s="61"/>
      <c r="I280" s="61"/>
      <c r="J280" s="61"/>
      <c r="K280" s="61"/>
    </row>
    <row r="281">
      <c r="C281" s="61"/>
      <c r="H281" s="61"/>
      <c r="I281" s="61"/>
      <c r="J281" s="61"/>
      <c r="K281" s="61"/>
    </row>
    <row r="282">
      <c r="C282" s="61"/>
      <c r="H282" s="61"/>
      <c r="I282" s="61"/>
      <c r="J282" s="61"/>
      <c r="K282" s="61"/>
    </row>
    <row r="283">
      <c r="C283" s="61"/>
      <c r="H283" s="61"/>
      <c r="I283" s="61"/>
      <c r="J283" s="61"/>
      <c r="K283" s="61"/>
    </row>
    <row r="284">
      <c r="C284" s="61"/>
      <c r="H284" s="61"/>
      <c r="I284" s="61"/>
      <c r="J284" s="61"/>
      <c r="K284" s="61"/>
    </row>
    <row r="285">
      <c r="C285" s="61"/>
      <c r="H285" s="61"/>
      <c r="I285" s="61"/>
      <c r="J285" s="61"/>
      <c r="K285" s="61"/>
    </row>
    <row r="286">
      <c r="C286" s="61"/>
      <c r="H286" s="61"/>
      <c r="I286" s="61"/>
      <c r="J286" s="61"/>
      <c r="K286" s="61"/>
    </row>
    <row r="287">
      <c r="C287" s="61"/>
      <c r="H287" s="61"/>
      <c r="I287" s="61"/>
      <c r="J287" s="61"/>
      <c r="K287" s="61"/>
    </row>
    <row r="288">
      <c r="C288" s="61"/>
      <c r="H288" s="61"/>
      <c r="I288" s="61"/>
      <c r="J288" s="61"/>
      <c r="K288" s="61"/>
    </row>
    <row r="289">
      <c r="C289" s="61"/>
      <c r="H289" s="61"/>
      <c r="I289" s="61"/>
      <c r="J289" s="61"/>
      <c r="K289" s="61"/>
    </row>
    <row r="290">
      <c r="C290" s="61"/>
      <c r="H290" s="61"/>
      <c r="I290" s="61"/>
      <c r="J290" s="61"/>
      <c r="K290" s="61"/>
    </row>
    <row r="291">
      <c r="C291" s="61"/>
      <c r="H291" s="61"/>
      <c r="I291" s="61"/>
      <c r="J291" s="61"/>
      <c r="K291" s="61"/>
    </row>
    <row r="292">
      <c r="C292" s="61"/>
      <c r="H292" s="61"/>
      <c r="I292" s="61"/>
      <c r="J292" s="61"/>
      <c r="K292" s="61"/>
    </row>
    <row r="293">
      <c r="C293" s="61"/>
      <c r="H293" s="61"/>
      <c r="I293" s="61"/>
      <c r="J293" s="61"/>
      <c r="K293" s="61"/>
    </row>
    <row r="294">
      <c r="C294" s="61"/>
      <c r="H294" s="61"/>
      <c r="I294" s="61"/>
      <c r="J294" s="61"/>
      <c r="K294" s="61"/>
    </row>
    <row r="295">
      <c r="C295" s="61"/>
      <c r="H295" s="61"/>
      <c r="I295" s="61"/>
      <c r="J295" s="61"/>
      <c r="K295" s="61"/>
    </row>
    <row r="296">
      <c r="C296" s="61"/>
      <c r="H296" s="61"/>
      <c r="I296" s="61"/>
      <c r="J296" s="61"/>
      <c r="K296" s="61"/>
    </row>
    <row r="297">
      <c r="C297" s="61"/>
      <c r="H297" s="61"/>
      <c r="I297" s="61"/>
      <c r="J297" s="61"/>
      <c r="K297" s="61"/>
    </row>
    <row r="298">
      <c r="C298" s="61"/>
      <c r="H298" s="61"/>
      <c r="I298" s="61"/>
      <c r="J298" s="61"/>
      <c r="K298" s="61"/>
    </row>
    <row r="299">
      <c r="C299" s="61"/>
      <c r="H299" s="61"/>
      <c r="I299" s="61"/>
      <c r="J299" s="61"/>
      <c r="K299" s="61"/>
    </row>
    <row r="300">
      <c r="C300" s="61"/>
      <c r="H300" s="61"/>
      <c r="I300" s="61"/>
      <c r="J300" s="61"/>
      <c r="K300" s="61"/>
    </row>
    <row r="301">
      <c r="C301" s="61"/>
      <c r="H301" s="61"/>
      <c r="I301" s="61"/>
      <c r="J301" s="61"/>
      <c r="K301" s="61"/>
    </row>
    <row r="302">
      <c r="C302" s="61"/>
      <c r="H302" s="61"/>
      <c r="I302" s="61"/>
      <c r="J302" s="61"/>
      <c r="K302" s="61"/>
    </row>
    <row r="303">
      <c r="C303" s="61"/>
      <c r="H303" s="61"/>
      <c r="I303" s="61"/>
      <c r="J303" s="61"/>
      <c r="K303" s="61"/>
    </row>
    <row r="304">
      <c r="C304" s="61"/>
      <c r="H304" s="61"/>
      <c r="I304" s="61"/>
      <c r="J304" s="61"/>
      <c r="K304" s="61"/>
    </row>
    <row r="305">
      <c r="C305" s="61"/>
      <c r="H305" s="61"/>
      <c r="I305" s="61"/>
      <c r="J305" s="61"/>
      <c r="K305" s="61"/>
    </row>
    <row r="306">
      <c r="C306" s="61"/>
      <c r="H306" s="61"/>
      <c r="I306" s="61"/>
      <c r="J306" s="61"/>
      <c r="K306" s="61"/>
    </row>
    <row r="307">
      <c r="C307" s="61"/>
      <c r="H307" s="61"/>
      <c r="I307" s="61"/>
      <c r="J307" s="61"/>
      <c r="K307" s="61"/>
    </row>
    <row r="308">
      <c r="C308" s="61"/>
      <c r="H308" s="61"/>
      <c r="I308" s="61"/>
      <c r="J308" s="61"/>
      <c r="K308" s="61"/>
    </row>
    <row r="309">
      <c r="C309" s="61"/>
      <c r="H309" s="61"/>
      <c r="I309" s="61"/>
      <c r="J309" s="61"/>
      <c r="K309" s="61"/>
    </row>
    <row r="310">
      <c r="C310" s="61"/>
      <c r="H310" s="61"/>
      <c r="I310" s="61"/>
      <c r="J310" s="61"/>
      <c r="K310" s="61"/>
    </row>
    <row r="311">
      <c r="C311" s="61"/>
      <c r="H311" s="61"/>
      <c r="I311" s="61"/>
      <c r="J311" s="61"/>
      <c r="K311" s="61"/>
    </row>
    <row r="312">
      <c r="C312" s="61"/>
      <c r="H312" s="61"/>
      <c r="I312" s="61"/>
      <c r="J312" s="61"/>
      <c r="K312" s="61"/>
    </row>
    <row r="313">
      <c r="C313" s="61"/>
      <c r="H313" s="61"/>
      <c r="I313" s="61"/>
      <c r="J313" s="61"/>
      <c r="K313" s="61"/>
    </row>
    <row r="314">
      <c r="C314" s="61"/>
      <c r="H314" s="61"/>
      <c r="I314" s="61"/>
      <c r="J314" s="61"/>
      <c r="K314" s="61"/>
    </row>
    <row r="315">
      <c r="C315" s="61"/>
      <c r="H315" s="61"/>
      <c r="I315" s="61"/>
      <c r="J315" s="61"/>
      <c r="K315" s="61"/>
    </row>
    <row r="316">
      <c r="C316" s="61"/>
      <c r="H316" s="61"/>
      <c r="I316" s="61"/>
      <c r="J316" s="61"/>
      <c r="K316" s="61"/>
    </row>
    <row r="317">
      <c r="C317" s="61"/>
      <c r="H317" s="61"/>
      <c r="I317" s="61"/>
      <c r="J317" s="61"/>
      <c r="K317" s="61"/>
    </row>
    <row r="318">
      <c r="C318" s="61"/>
      <c r="H318" s="61"/>
      <c r="I318" s="61"/>
      <c r="J318" s="61"/>
      <c r="K318" s="61"/>
    </row>
    <row r="319">
      <c r="C319" s="61"/>
      <c r="H319" s="61"/>
      <c r="I319" s="61"/>
      <c r="J319" s="61"/>
      <c r="K319" s="61"/>
    </row>
    <row r="320">
      <c r="C320" s="61"/>
      <c r="H320" s="61"/>
      <c r="I320" s="61"/>
      <c r="J320" s="61"/>
      <c r="K320" s="61"/>
    </row>
    <row r="321">
      <c r="C321" s="61"/>
      <c r="H321" s="61"/>
      <c r="I321" s="61"/>
      <c r="J321" s="61"/>
      <c r="K321" s="61"/>
    </row>
    <row r="322">
      <c r="C322" s="61"/>
      <c r="H322" s="61"/>
      <c r="I322" s="61"/>
      <c r="J322" s="61"/>
      <c r="K322" s="61"/>
    </row>
    <row r="323">
      <c r="C323" s="61"/>
      <c r="H323" s="61"/>
      <c r="I323" s="61"/>
      <c r="J323" s="61"/>
      <c r="K323" s="61"/>
    </row>
    <row r="324">
      <c r="C324" s="61"/>
      <c r="H324" s="61"/>
      <c r="I324" s="61"/>
      <c r="J324" s="61"/>
      <c r="K324" s="61"/>
    </row>
    <row r="325">
      <c r="C325" s="61"/>
      <c r="H325" s="61"/>
      <c r="I325" s="61"/>
      <c r="J325" s="61"/>
      <c r="K325" s="61"/>
    </row>
    <row r="326">
      <c r="C326" s="61"/>
      <c r="H326" s="61"/>
      <c r="I326" s="61"/>
      <c r="J326" s="61"/>
      <c r="K326" s="61"/>
    </row>
    <row r="327">
      <c r="C327" s="61"/>
      <c r="H327" s="61"/>
      <c r="I327" s="61"/>
      <c r="J327" s="61"/>
      <c r="K327" s="61"/>
    </row>
    <row r="328">
      <c r="C328" s="61"/>
      <c r="H328" s="61"/>
      <c r="I328" s="61"/>
      <c r="J328" s="61"/>
      <c r="K328" s="61"/>
    </row>
    <row r="329">
      <c r="C329" s="61"/>
      <c r="H329" s="61"/>
      <c r="I329" s="61"/>
      <c r="J329" s="61"/>
      <c r="K329" s="61"/>
    </row>
    <row r="330">
      <c r="C330" s="61"/>
      <c r="H330" s="61"/>
      <c r="I330" s="61"/>
      <c r="J330" s="61"/>
      <c r="K330" s="61"/>
    </row>
    <row r="331">
      <c r="C331" s="61"/>
      <c r="H331" s="61"/>
      <c r="I331" s="61"/>
      <c r="J331" s="61"/>
      <c r="K331" s="61"/>
    </row>
    <row r="332">
      <c r="C332" s="61"/>
      <c r="H332" s="61"/>
      <c r="I332" s="61"/>
      <c r="J332" s="61"/>
      <c r="K332" s="61"/>
    </row>
    <row r="333">
      <c r="C333" s="61"/>
      <c r="H333" s="61"/>
      <c r="I333" s="61"/>
      <c r="J333" s="61"/>
      <c r="K333" s="61"/>
    </row>
    <row r="334">
      <c r="C334" s="61"/>
      <c r="H334" s="61"/>
      <c r="I334" s="61"/>
      <c r="J334" s="61"/>
      <c r="K334" s="61"/>
    </row>
    <row r="335">
      <c r="C335" s="61"/>
      <c r="H335" s="61"/>
      <c r="I335" s="61"/>
      <c r="J335" s="61"/>
      <c r="K335" s="61"/>
    </row>
    <row r="336">
      <c r="C336" s="61"/>
      <c r="H336" s="61"/>
      <c r="I336" s="61"/>
      <c r="J336" s="61"/>
      <c r="K336" s="61"/>
    </row>
    <row r="337">
      <c r="C337" s="61"/>
      <c r="H337" s="61"/>
      <c r="I337" s="61"/>
      <c r="J337" s="61"/>
      <c r="K337" s="61"/>
    </row>
    <row r="338">
      <c r="C338" s="61"/>
      <c r="H338" s="61"/>
      <c r="I338" s="61"/>
      <c r="J338" s="61"/>
      <c r="K338" s="61"/>
    </row>
    <row r="339">
      <c r="C339" s="61"/>
      <c r="H339" s="61"/>
      <c r="I339" s="61"/>
      <c r="J339" s="61"/>
      <c r="K339" s="61"/>
    </row>
    <row r="340">
      <c r="C340" s="61"/>
      <c r="H340" s="61"/>
      <c r="I340" s="61"/>
      <c r="J340" s="61"/>
      <c r="K340" s="61"/>
    </row>
    <row r="341">
      <c r="C341" s="61"/>
      <c r="H341" s="61"/>
      <c r="I341" s="61"/>
      <c r="J341" s="61"/>
      <c r="K341" s="61"/>
    </row>
    <row r="342">
      <c r="C342" s="61"/>
      <c r="H342" s="61"/>
      <c r="I342" s="61"/>
      <c r="J342" s="61"/>
      <c r="K342" s="61"/>
    </row>
    <row r="343">
      <c r="C343" s="61"/>
      <c r="H343" s="61"/>
      <c r="I343" s="61"/>
      <c r="J343" s="61"/>
      <c r="K343" s="61"/>
    </row>
    <row r="344">
      <c r="C344" s="61"/>
      <c r="H344" s="61"/>
      <c r="I344" s="61"/>
      <c r="J344" s="61"/>
      <c r="K344" s="61"/>
    </row>
    <row r="345">
      <c r="C345" s="61"/>
      <c r="H345" s="61"/>
      <c r="I345" s="61"/>
      <c r="J345" s="61"/>
      <c r="K345" s="61"/>
    </row>
    <row r="346">
      <c r="C346" s="61"/>
      <c r="H346" s="61"/>
      <c r="I346" s="61"/>
      <c r="J346" s="61"/>
      <c r="K346" s="61"/>
    </row>
    <row r="347">
      <c r="C347" s="61"/>
      <c r="H347" s="61"/>
      <c r="I347" s="61"/>
      <c r="J347" s="61"/>
      <c r="K347" s="61"/>
    </row>
    <row r="348">
      <c r="C348" s="61"/>
      <c r="H348" s="61"/>
      <c r="I348" s="61"/>
      <c r="J348" s="61"/>
      <c r="K348" s="61"/>
    </row>
    <row r="349">
      <c r="C349" s="61"/>
      <c r="H349" s="61"/>
      <c r="I349" s="61"/>
      <c r="J349" s="61"/>
      <c r="K349" s="61"/>
    </row>
    <row r="350">
      <c r="C350" s="61"/>
      <c r="H350" s="61"/>
      <c r="I350" s="61"/>
      <c r="J350" s="61"/>
      <c r="K350" s="61"/>
    </row>
    <row r="351">
      <c r="C351" s="61"/>
      <c r="H351" s="61"/>
      <c r="I351" s="61"/>
      <c r="J351" s="61"/>
      <c r="K351" s="61"/>
    </row>
    <row r="352">
      <c r="C352" s="61"/>
      <c r="H352" s="61"/>
      <c r="I352" s="61"/>
      <c r="J352" s="61"/>
      <c r="K352" s="61"/>
    </row>
    <row r="353">
      <c r="C353" s="61"/>
      <c r="H353" s="61"/>
      <c r="I353" s="61"/>
      <c r="J353" s="61"/>
      <c r="K353" s="61"/>
    </row>
    <row r="354">
      <c r="C354" s="61"/>
      <c r="H354" s="61"/>
      <c r="I354" s="61"/>
      <c r="J354" s="61"/>
      <c r="K354" s="61"/>
    </row>
    <row r="355">
      <c r="C355" s="61"/>
      <c r="H355" s="61"/>
      <c r="I355" s="61"/>
      <c r="J355" s="61"/>
      <c r="K355" s="61"/>
    </row>
    <row r="356">
      <c r="C356" s="61"/>
      <c r="H356" s="61"/>
      <c r="I356" s="61"/>
      <c r="J356" s="61"/>
      <c r="K356" s="61"/>
    </row>
    <row r="357">
      <c r="C357" s="61"/>
      <c r="H357" s="61"/>
      <c r="I357" s="61"/>
      <c r="J357" s="61"/>
      <c r="K357" s="61"/>
    </row>
    <row r="358">
      <c r="C358" s="61"/>
      <c r="H358" s="61"/>
      <c r="I358" s="61"/>
      <c r="J358" s="61"/>
      <c r="K358" s="61"/>
    </row>
    <row r="359">
      <c r="C359" s="61"/>
      <c r="H359" s="61"/>
      <c r="I359" s="61"/>
      <c r="J359" s="61"/>
      <c r="K359" s="61"/>
    </row>
    <row r="360">
      <c r="C360" s="61"/>
      <c r="H360" s="61"/>
      <c r="I360" s="61"/>
      <c r="J360" s="61"/>
      <c r="K360" s="61"/>
    </row>
    <row r="361">
      <c r="C361" s="61"/>
      <c r="H361" s="61"/>
      <c r="I361" s="61"/>
      <c r="J361" s="61"/>
      <c r="K361" s="61"/>
    </row>
    <row r="362">
      <c r="C362" s="61"/>
      <c r="H362" s="61"/>
      <c r="I362" s="61"/>
      <c r="J362" s="61"/>
      <c r="K362" s="61"/>
    </row>
    <row r="363">
      <c r="C363" s="61"/>
      <c r="H363" s="61"/>
      <c r="I363" s="61"/>
      <c r="J363" s="61"/>
      <c r="K363" s="61"/>
    </row>
    <row r="364">
      <c r="C364" s="61"/>
      <c r="H364" s="61"/>
      <c r="I364" s="61"/>
      <c r="J364" s="61"/>
      <c r="K364" s="61"/>
    </row>
    <row r="365">
      <c r="C365" s="61"/>
      <c r="H365" s="61"/>
      <c r="I365" s="61"/>
      <c r="J365" s="61"/>
      <c r="K365" s="61"/>
    </row>
    <row r="366">
      <c r="C366" s="61"/>
      <c r="H366" s="61"/>
      <c r="I366" s="61"/>
      <c r="J366" s="61"/>
      <c r="K366" s="61"/>
    </row>
    <row r="367">
      <c r="C367" s="61"/>
      <c r="H367" s="61"/>
      <c r="I367" s="61"/>
      <c r="J367" s="61"/>
      <c r="K367" s="61"/>
    </row>
    <row r="368">
      <c r="C368" s="61"/>
      <c r="H368" s="61"/>
      <c r="I368" s="61"/>
      <c r="J368" s="61"/>
      <c r="K368" s="61"/>
    </row>
    <row r="369">
      <c r="C369" s="61"/>
      <c r="H369" s="61"/>
      <c r="I369" s="61"/>
      <c r="J369" s="61"/>
      <c r="K369" s="61"/>
    </row>
    <row r="370">
      <c r="C370" s="61"/>
      <c r="H370" s="61"/>
      <c r="I370" s="61"/>
      <c r="J370" s="61"/>
      <c r="K370" s="61"/>
    </row>
    <row r="371">
      <c r="C371" s="61"/>
      <c r="H371" s="61"/>
      <c r="I371" s="61"/>
      <c r="J371" s="61"/>
      <c r="K371" s="61"/>
    </row>
    <row r="372">
      <c r="C372" s="61"/>
      <c r="H372" s="61"/>
      <c r="I372" s="61"/>
      <c r="J372" s="61"/>
      <c r="K372" s="61"/>
    </row>
    <row r="373">
      <c r="C373" s="61"/>
      <c r="H373" s="61"/>
      <c r="I373" s="61"/>
      <c r="J373" s="61"/>
      <c r="K373" s="61"/>
    </row>
    <row r="374">
      <c r="C374" s="61"/>
      <c r="H374" s="61"/>
      <c r="I374" s="61"/>
      <c r="J374" s="61"/>
      <c r="K374" s="61"/>
    </row>
    <row r="375">
      <c r="C375" s="61"/>
      <c r="H375" s="61"/>
      <c r="I375" s="61"/>
      <c r="J375" s="61"/>
      <c r="K375" s="61"/>
    </row>
    <row r="376">
      <c r="C376" s="61"/>
      <c r="H376" s="61"/>
      <c r="I376" s="61"/>
      <c r="J376" s="61"/>
      <c r="K376" s="61"/>
    </row>
    <row r="377">
      <c r="C377" s="61"/>
      <c r="H377" s="61"/>
      <c r="I377" s="61"/>
      <c r="J377" s="61"/>
      <c r="K377" s="61"/>
    </row>
    <row r="378">
      <c r="C378" s="61"/>
      <c r="H378" s="61"/>
      <c r="I378" s="61"/>
      <c r="J378" s="61"/>
      <c r="K378" s="61"/>
    </row>
    <row r="379">
      <c r="C379" s="61"/>
      <c r="H379" s="61"/>
      <c r="I379" s="61"/>
      <c r="J379" s="61"/>
      <c r="K379" s="61"/>
    </row>
    <row r="380">
      <c r="C380" s="61"/>
      <c r="H380" s="61"/>
      <c r="I380" s="61"/>
      <c r="J380" s="61"/>
      <c r="K380" s="61"/>
    </row>
    <row r="381">
      <c r="C381" s="61"/>
      <c r="H381" s="61"/>
      <c r="I381" s="61"/>
      <c r="J381" s="61"/>
      <c r="K381" s="61"/>
    </row>
    <row r="382">
      <c r="C382" s="61"/>
      <c r="H382" s="61"/>
      <c r="I382" s="61"/>
      <c r="J382" s="61"/>
      <c r="K382" s="61"/>
    </row>
    <row r="383">
      <c r="C383" s="61"/>
      <c r="H383" s="61"/>
      <c r="I383" s="61"/>
      <c r="J383" s="61"/>
      <c r="K383" s="61"/>
    </row>
    <row r="384">
      <c r="C384" s="61"/>
      <c r="H384" s="61"/>
      <c r="I384" s="61"/>
      <c r="J384" s="61"/>
      <c r="K384" s="61"/>
    </row>
    <row r="385">
      <c r="C385" s="61"/>
      <c r="H385" s="61"/>
      <c r="I385" s="61"/>
      <c r="J385" s="61"/>
      <c r="K385" s="61"/>
    </row>
    <row r="386">
      <c r="C386" s="61"/>
      <c r="H386" s="61"/>
      <c r="I386" s="61"/>
      <c r="J386" s="61"/>
      <c r="K386" s="61"/>
    </row>
    <row r="387">
      <c r="C387" s="61"/>
      <c r="H387" s="61"/>
      <c r="I387" s="61"/>
      <c r="J387" s="61"/>
      <c r="K387" s="61"/>
    </row>
    <row r="388">
      <c r="C388" s="61"/>
      <c r="H388" s="61"/>
      <c r="I388" s="61"/>
      <c r="J388" s="61"/>
      <c r="K388" s="61"/>
    </row>
    <row r="389">
      <c r="C389" s="61"/>
      <c r="H389" s="61"/>
      <c r="I389" s="61"/>
      <c r="J389" s="61"/>
      <c r="K389" s="61"/>
    </row>
    <row r="390">
      <c r="C390" s="61"/>
      <c r="H390" s="61"/>
      <c r="I390" s="61"/>
      <c r="J390" s="61"/>
      <c r="K390" s="61"/>
    </row>
    <row r="391">
      <c r="C391" s="61"/>
      <c r="H391" s="61"/>
      <c r="I391" s="61"/>
      <c r="J391" s="61"/>
      <c r="K391" s="61"/>
    </row>
    <row r="392">
      <c r="C392" s="61"/>
      <c r="H392" s="61"/>
      <c r="I392" s="61"/>
      <c r="J392" s="61"/>
      <c r="K392" s="61"/>
    </row>
    <row r="393">
      <c r="C393" s="61"/>
      <c r="H393" s="61"/>
      <c r="I393" s="61"/>
      <c r="J393" s="61"/>
      <c r="K393" s="61"/>
    </row>
    <row r="394">
      <c r="C394" s="61"/>
      <c r="H394" s="61"/>
      <c r="I394" s="61"/>
      <c r="J394" s="61"/>
      <c r="K394" s="61"/>
    </row>
    <row r="395">
      <c r="C395" s="61"/>
      <c r="H395" s="61"/>
      <c r="I395" s="61"/>
      <c r="J395" s="61"/>
      <c r="K395" s="61"/>
    </row>
    <row r="396">
      <c r="C396" s="61"/>
      <c r="H396" s="61"/>
      <c r="I396" s="61"/>
      <c r="J396" s="61"/>
      <c r="K396" s="61"/>
    </row>
    <row r="397">
      <c r="C397" s="61"/>
      <c r="H397" s="61"/>
      <c r="I397" s="61"/>
      <c r="J397" s="61"/>
      <c r="K397" s="61"/>
    </row>
    <row r="398">
      <c r="C398" s="61"/>
      <c r="H398" s="61"/>
      <c r="I398" s="61"/>
      <c r="J398" s="61"/>
      <c r="K398" s="61"/>
    </row>
    <row r="399">
      <c r="C399" s="61"/>
      <c r="H399" s="61"/>
      <c r="I399" s="61"/>
      <c r="J399" s="61"/>
      <c r="K399" s="61"/>
    </row>
    <row r="400">
      <c r="C400" s="61"/>
      <c r="H400" s="61"/>
      <c r="I400" s="61"/>
      <c r="J400" s="61"/>
      <c r="K400" s="61"/>
    </row>
    <row r="401">
      <c r="C401" s="61"/>
      <c r="H401" s="61"/>
      <c r="I401" s="61"/>
      <c r="J401" s="61"/>
      <c r="K401" s="61"/>
    </row>
    <row r="402">
      <c r="C402" s="61"/>
      <c r="H402" s="61"/>
      <c r="I402" s="61"/>
      <c r="J402" s="61"/>
      <c r="K402" s="61"/>
    </row>
    <row r="403">
      <c r="C403" s="61"/>
      <c r="H403" s="61"/>
      <c r="I403" s="61"/>
      <c r="J403" s="61"/>
      <c r="K403" s="61"/>
    </row>
    <row r="404">
      <c r="C404" s="61"/>
      <c r="H404" s="61"/>
      <c r="I404" s="61"/>
      <c r="J404" s="61"/>
      <c r="K404" s="61"/>
    </row>
    <row r="405">
      <c r="C405" s="61"/>
      <c r="H405" s="61"/>
      <c r="I405" s="61"/>
      <c r="J405" s="61"/>
      <c r="K405" s="61"/>
    </row>
    <row r="406">
      <c r="C406" s="61"/>
      <c r="H406" s="61"/>
      <c r="I406" s="61"/>
      <c r="J406" s="61"/>
      <c r="K406" s="61"/>
    </row>
    <row r="407">
      <c r="C407" s="61"/>
      <c r="H407" s="61"/>
      <c r="I407" s="61"/>
      <c r="J407" s="61"/>
      <c r="K407" s="61"/>
    </row>
    <row r="408">
      <c r="C408" s="61"/>
      <c r="H408" s="61"/>
      <c r="I408" s="61"/>
      <c r="J408" s="61"/>
      <c r="K408" s="61"/>
    </row>
    <row r="409">
      <c r="C409" s="61"/>
      <c r="H409" s="61"/>
      <c r="I409" s="61"/>
      <c r="J409" s="61"/>
      <c r="K409" s="61"/>
    </row>
    <row r="410">
      <c r="C410" s="61"/>
      <c r="H410" s="61"/>
      <c r="I410" s="61"/>
      <c r="J410" s="61"/>
      <c r="K410" s="61"/>
    </row>
    <row r="411">
      <c r="C411" s="61"/>
      <c r="H411" s="61"/>
      <c r="I411" s="61"/>
      <c r="J411" s="61"/>
      <c r="K411" s="61"/>
    </row>
    <row r="412">
      <c r="C412" s="61"/>
      <c r="H412" s="61"/>
      <c r="I412" s="61"/>
      <c r="J412" s="61"/>
      <c r="K412" s="61"/>
    </row>
    <row r="413">
      <c r="C413" s="61"/>
      <c r="H413" s="61"/>
      <c r="I413" s="61"/>
      <c r="J413" s="61"/>
      <c r="K413" s="61"/>
    </row>
    <row r="414">
      <c r="C414" s="61"/>
      <c r="H414" s="61"/>
      <c r="I414" s="61"/>
      <c r="J414" s="61"/>
      <c r="K414" s="61"/>
    </row>
    <row r="415">
      <c r="C415" s="61"/>
      <c r="H415" s="61"/>
      <c r="I415" s="61"/>
      <c r="J415" s="61"/>
      <c r="K415" s="61"/>
    </row>
    <row r="416">
      <c r="C416" s="61"/>
      <c r="H416" s="61"/>
      <c r="I416" s="61"/>
      <c r="J416" s="61"/>
      <c r="K416" s="61"/>
    </row>
    <row r="417">
      <c r="C417" s="61"/>
      <c r="H417" s="61"/>
      <c r="I417" s="61"/>
      <c r="J417" s="61"/>
      <c r="K417" s="61"/>
    </row>
    <row r="418">
      <c r="C418" s="61"/>
      <c r="H418" s="61"/>
      <c r="I418" s="61"/>
      <c r="J418" s="61"/>
      <c r="K418" s="61"/>
    </row>
    <row r="419">
      <c r="C419" s="61"/>
      <c r="H419" s="61"/>
      <c r="I419" s="61"/>
      <c r="J419" s="61"/>
      <c r="K419" s="61"/>
    </row>
    <row r="420">
      <c r="C420" s="61"/>
      <c r="H420" s="61"/>
      <c r="I420" s="61"/>
      <c r="J420" s="61"/>
      <c r="K420" s="61"/>
    </row>
    <row r="421">
      <c r="C421" s="61"/>
      <c r="H421" s="61"/>
      <c r="I421" s="61"/>
      <c r="J421" s="61"/>
      <c r="K421" s="61"/>
    </row>
    <row r="422">
      <c r="C422" s="61"/>
      <c r="H422" s="61"/>
      <c r="I422" s="61"/>
      <c r="J422" s="61"/>
      <c r="K422" s="61"/>
    </row>
    <row r="423">
      <c r="C423" s="61"/>
      <c r="H423" s="61"/>
      <c r="I423" s="61"/>
      <c r="J423" s="61"/>
      <c r="K423" s="61"/>
    </row>
    <row r="424">
      <c r="C424" s="61"/>
      <c r="H424" s="61"/>
      <c r="I424" s="61"/>
      <c r="J424" s="61"/>
      <c r="K424" s="61"/>
    </row>
    <row r="425">
      <c r="C425" s="61"/>
      <c r="H425" s="61"/>
      <c r="I425" s="61"/>
      <c r="J425" s="61"/>
      <c r="K425" s="61"/>
    </row>
    <row r="426">
      <c r="C426" s="61"/>
      <c r="H426" s="61"/>
      <c r="I426" s="61"/>
      <c r="J426" s="61"/>
      <c r="K426" s="61"/>
    </row>
    <row r="427">
      <c r="C427" s="61"/>
      <c r="H427" s="61"/>
      <c r="I427" s="61"/>
      <c r="J427" s="61"/>
      <c r="K427" s="61"/>
    </row>
    <row r="428">
      <c r="C428" s="61"/>
      <c r="H428" s="61"/>
      <c r="I428" s="61"/>
      <c r="J428" s="61"/>
      <c r="K428" s="61"/>
    </row>
    <row r="429">
      <c r="C429" s="61"/>
      <c r="H429" s="61"/>
      <c r="I429" s="61"/>
      <c r="J429" s="61"/>
      <c r="K429" s="61"/>
    </row>
    <row r="430">
      <c r="C430" s="61"/>
      <c r="H430" s="61"/>
      <c r="I430" s="61"/>
      <c r="J430" s="61"/>
      <c r="K430" s="61"/>
    </row>
    <row r="431">
      <c r="C431" s="61"/>
      <c r="H431" s="61"/>
      <c r="I431" s="61"/>
      <c r="J431" s="61"/>
      <c r="K431" s="61"/>
    </row>
    <row r="432">
      <c r="C432" s="61"/>
      <c r="H432" s="61"/>
      <c r="I432" s="61"/>
      <c r="J432" s="61"/>
      <c r="K432" s="61"/>
    </row>
    <row r="433">
      <c r="C433" s="61"/>
      <c r="H433" s="61"/>
      <c r="I433" s="61"/>
      <c r="J433" s="61"/>
      <c r="K433" s="61"/>
    </row>
    <row r="434">
      <c r="C434" s="61"/>
      <c r="H434" s="61"/>
      <c r="I434" s="61"/>
      <c r="J434" s="61"/>
      <c r="K434" s="61"/>
    </row>
    <row r="435">
      <c r="C435" s="61"/>
      <c r="H435" s="61"/>
      <c r="I435" s="61"/>
      <c r="J435" s="61"/>
      <c r="K435" s="61"/>
    </row>
    <row r="436">
      <c r="C436" s="61"/>
      <c r="H436" s="61"/>
      <c r="I436" s="61"/>
      <c r="J436" s="61"/>
      <c r="K436" s="61"/>
    </row>
    <row r="437">
      <c r="C437" s="61"/>
      <c r="H437" s="61"/>
      <c r="I437" s="61"/>
      <c r="J437" s="61"/>
      <c r="K437" s="61"/>
    </row>
    <row r="438">
      <c r="C438" s="61"/>
      <c r="H438" s="61"/>
      <c r="I438" s="61"/>
      <c r="J438" s="61"/>
      <c r="K438" s="61"/>
    </row>
    <row r="439">
      <c r="C439" s="61"/>
      <c r="H439" s="61"/>
      <c r="I439" s="61"/>
      <c r="J439" s="61"/>
      <c r="K439" s="61"/>
    </row>
    <row r="440">
      <c r="C440" s="61"/>
      <c r="H440" s="61"/>
      <c r="I440" s="61"/>
      <c r="J440" s="61"/>
      <c r="K440" s="61"/>
    </row>
    <row r="441">
      <c r="C441" s="61"/>
      <c r="H441" s="61"/>
      <c r="I441" s="61"/>
      <c r="J441" s="61"/>
      <c r="K441" s="61"/>
    </row>
    <row r="442">
      <c r="C442" s="61"/>
      <c r="H442" s="61"/>
      <c r="I442" s="61"/>
      <c r="J442" s="61"/>
      <c r="K442" s="61"/>
    </row>
    <row r="443">
      <c r="C443" s="61"/>
      <c r="H443" s="61"/>
      <c r="I443" s="61"/>
      <c r="J443" s="61"/>
      <c r="K443" s="61"/>
    </row>
    <row r="444">
      <c r="C444" s="61"/>
      <c r="H444" s="61"/>
      <c r="I444" s="61"/>
      <c r="J444" s="61"/>
      <c r="K444" s="61"/>
    </row>
    <row r="445">
      <c r="C445" s="61"/>
      <c r="H445" s="61"/>
      <c r="I445" s="61"/>
      <c r="J445" s="61"/>
      <c r="K445" s="61"/>
    </row>
    <row r="446">
      <c r="C446" s="61"/>
      <c r="H446" s="61"/>
      <c r="I446" s="61"/>
      <c r="J446" s="61"/>
      <c r="K446" s="61"/>
    </row>
    <row r="447">
      <c r="C447" s="61"/>
      <c r="H447" s="61"/>
      <c r="I447" s="61"/>
      <c r="J447" s="61"/>
      <c r="K447" s="61"/>
    </row>
    <row r="448">
      <c r="C448" s="61"/>
      <c r="H448" s="61"/>
      <c r="I448" s="61"/>
      <c r="J448" s="61"/>
      <c r="K448" s="61"/>
    </row>
    <row r="449">
      <c r="C449" s="61"/>
      <c r="H449" s="61"/>
      <c r="I449" s="61"/>
      <c r="J449" s="61"/>
      <c r="K449" s="61"/>
    </row>
    <row r="450">
      <c r="C450" s="61"/>
      <c r="H450" s="61"/>
      <c r="I450" s="61"/>
      <c r="J450" s="61"/>
      <c r="K450" s="61"/>
    </row>
    <row r="451">
      <c r="C451" s="61"/>
      <c r="H451" s="61"/>
      <c r="I451" s="61"/>
      <c r="J451" s="61"/>
      <c r="K451" s="61"/>
    </row>
    <row r="452">
      <c r="C452" s="61"/>
      <c r="H452" s="61"/>
      <c r="I452" s="61"/>
      <c r="J452" s="61"/>
      <c r="K452" s="61"/>
    </row>
    <row r="453">
      <c r="C453" s="61"/>
      <c r="H453" s="61"/>
      <c r="I453" s="61"/>
      <c r="J453" s="61"/>
      <c r="K453" s="61"/>
    </row>
    <row r="454">
      <c r="C454" s="61"/>
      <c r="H454" s="61"/>
      <c r="I454" s="61"/>
      <c r="J454" s="61"/>
      <c r="K454" s="61"/>
    </row>
    <row r="455">
      <c r="C455" s="61"/>
      <c r="H455" s="61"/>
      <c r="I455" s="61"/>
      <c r="J455" s="61"/>
      <c r="K455" s="61"/>
    </row>
    <row r="456">
      <c r="C456" s="61"/>
      <c r="H456" s="61"/>
      <c r="I456" s="61"/>
      <c r="J456" s="61"/>
      <c r="K456" s="61"/>
    </row>
    <row r="457">
      <c r="C457" s="61"/>
      <c r="H457" s="61"/>
      <c r="I457" s="61"/>
      <c r="J457" s="61"/>
      <c r="K457" s="61"/>
    </row>
    <row r="458">
      <c r="C458" s="61"/>
      <c r="H458" s="61"/>
      <c r="I458" s="61"/>
      <c r="J458" s="61"/>
      <c r="K458" s="61"/>
    </row>
    <row r="459">
      <c r="C459" s="61"/>
      <c r="H459" s="61"/>
      <c r="I459" s="61"/>
      <c r="J459" s="61"/>
      <c r="K459" s="61"/>
    </row>
    <row r="460">
      <c r="C460" s="61"/>
      <c r="H460" s="61"/>
      <c r="I460" s="61"/>
      <c r="J460" s="61"/>
      <c r="K460" s="61"/>
    </row>
    <row r="461">
      <c r="C461" s="61"/>
      <c r="H461" s="61"/>
      <c r="I461" s="61"/>
      <c r="J461" s="61"/>
      <c r="K461" s="61"/>
    </row>
    <row r="462">
      <c r="C462" s="61"/>
      <c r="H462" s="61"/>
      <c r="I462" s="61"/>
      <c r="J462" s="61"/>
      <c r="K462" s="61"/>
    </row>
    <row r="463">
      <c r="C463" s="61"/>
      <c r="H463" s="61"/>
      <c r="I463" s="61"/>
      <c r="J463" s="61"/>
      <c r="K463" s="61"/>
    </row>
    <row r="464">
      <c r="C464" s="61"/>
      <c r="H464" s="61"/>
      <c r="I464" s="61"/>
      <c r="J464" s="61"/>
      <c r="K464" s="61"/>
    </row>
    <row r="465">
      <c r="C465" s="61"/>
      <c r="H465" s="61"/>
      <c r="I465" s="61"/>
      <c r="J465" s="61"/>
      <c r="K465" s="61"/>
    </row>
    <row r="466">
      <c r="C466" s="61"/>
      <c r="H466" s="61"/>
      <c r="I466" s="61"/>
      <c r="J466" s="61"/>
      <c r="K466" s="61"/>
    </row>
    <row r="467">
      <c r="C467" s="61"/>
      <c r="H467" s="61"/>
      <c r="I467" s="61"/>
      <c r="J467" s="61"/>
      <c r="K467" s="61"/>
    </row>
    <row r="468">
      <c r="C468" s="61"/>
      <c r="H468" s="61"/>
      <c r="I468" s="61"/>
      <c r="J468" s="61"/>
      <c r="K468" s="61"/>
    </row>
    <row r="469">
      <c r="C469" s="61"/>
      <c r="H469" s="61"/>
      <c r="I469" s="61"/>
      <c r="J469" s="61"/>
      <c r="K469" s="61"/>
    </row>
    <row r="470">
      <c r="C470" s="61"/>
      <c r="H470" s="61"/>
      <c r="I470" s="61"/>
      <c r="J470" s="61"/>
      <c r="K470" s="61"/>
    </row>
    <row r="471">
      <c r="C471" s="61"/>
      <c r="H471" s="61"/>
      <c r="I471" s="61"/>
      <c r="J471" s="61"/>
      <c r="K471" s="61"/>
    </row>
    <row r="472">
      <c r="C472" s="61"/>
      <c r="H472" s="61"/>
      <c r="I472" s="61"/>
      <c r="J472" s="61"/>
      <c r="K472" s="61"/>
    </row>
    <row r="473">
      <c r="C473" s="61"/>
      <c r="H473" s="61"/>
      <c r="I473" s="61"/>
      <c r="J473" s="61"/>
      <c r="K473" s="61"/>
    </row>
    <row r="474">
      <c r="C474" s="61"/>
      <c r="H474" s="61"/>
      <c r="I474" s="61"/>
      <c r="J474" s="61"/>
      <c r="K474" s="61"/>
    </row>
    <row r="475">
      <c r="C475" s="61"/>
      <c r="H475" s="61"/>
      <c r="I475" s="61"/>
      <c r="J475" s="61"/>
      <c r="K475" s="61"/>
    </row>
    <row r="476">
      <c r="C476" s="61"/>
      <c r="H476" s="61"/>
      <c r="I476" s="61"/>
      <c r="J476" s="61"/>
      <c r="K476" s="61"/>
    </row>
    <row r="477">
      <c r="C477" s="61"/>
      <c r="H477" s="61"/>
      <c r="I477" s="61"/>
      <c r="J477" s="61"/>
      <c r="K477" s="61"/>
    </row>
    <row r="478">
      <c r="C478" s="61"/>
      <c r="H478" s="61"/>
      <c r="I478" s="61"/>
      <c r="J478" s="61"/>
      <c r="K478" s="61"/>
    </row>
    <row r="479">
      <c r="C479" s="61"/>
      <c r="H479" s="61"/>
      <c r="I479" s="61"/>
      <c r="J479" s="61"/>
      <c r="K479" s="61"/>
    </row>
    <row r="480">
      <c r="C480" s="61"/>
      <c r="H480" s="61"/>
      <c r="I480" s="61"/>
      <c r="J480" s="61"/>
      <c r="K480" s="61"/>
    </row>
    <row r="481">
      <c r="C481" s="61"/>
      <c r="H481" s="61"/>
      <c r="I481" s="61"/>
      <c r="J481" s="61"/>
      <c r="K481" s="61"/>
    </row>
    <row r="482">
      <c r="C482" s="61"/>
      <c r="H482" s="61"/>
      <c r="I482" s="61"/>
      <c r="J482" s="61"/>
      <c r="K482" s="61"/>
    </row>
    <row r="483">
      <c r="C483" s="61"/>
      <c r="H483" s="61"/>
      <c r="I483" s="61"/>
      <c r="J483" s="61"/>
      <c r="K483" s="61"/>
    </row>
    <row r="484">
      <c r="C484" s="61"/>
      <c r="H484" s="61"/>
      <c r="I484" s="61"/>
      <c r="J484" s="61"/>
      <c r="K484" s="61"/>
    </row>
    <row r="485">
      <c r="C485" s="61"/>
      <c r="H485" s="61"/>
      <c r="I485" s="61"/>
      <c r="J485" s="61"/>
      <c r="K485" s="61"/>
    </row>
    <row r="486">
      <c r="C486" s="61"/>
      <c r="H486" s="61"/>
      <c r="I486" s="61"/>
      <c r="J486" s="61"/>
      <c r="K486" s="61"/>
    </row>
    <row r="487">
      <c r="C487" s="61"/>
      <c r="H487" s="61"/>
      <c r="I487" s="61"/>
      <c r="J487" s="61"/>
      <c r="K487" s="61"/>
    </row>
    <row r="488">
      <c r="C488" s="61"/>
      <c r="H488" s="61"/>
      <c r="I488" s="61"/>
      <c r="J488" s="61"/>
      <c r="K488" s="61"/>
    </row>
    <row r="489">
      <c r="C489" s="61"/>
      <c r="H489" s="61"/>
      <c r="I489" s="61"/>
      <c r="J489" s="61"/>
      <c r="K489" s="61"/>
    </row>
    <row r="490">
      <c r="C490" s="61"/>
      <c r="H490" s="61"/>
      <c r="I490" s="61"/>
      <c r="J490" s="61"/>
      <c r="K490" s="61"/>
    </row>
    <row r="491">
      <c r="C491" s="61"/>
      <c r="H491" s="61"/>
      <c r="I491" s="61"/>
      <c r="J491" s="61"/>
      <c r="K491" s="61"/>
    </row>
    <row r="492">
      <c r="C492" s="61"/>
      <c r="H492" s="61"/>
      <c r="I492" s="61"/>
      <c r="J492" s="61"/>
      <c r="K492" s="61"/>
    </row>
    <row r="493">
      <c r="C493" s="61"/>
      <c r="H493" s="61"/>
      <c r="I493" s="61"/>
      <c r="J493" s="61"/>
      <c r="K493" s="61"/>
    </row>
    <row r="494">
      <c r="C494" s="61"/>
      <c r="H494" s="61"/>
      <c r="I494" s="61"/>
      <c r="J494" s="61"/>
      <c r="K494" s="61"/>
    </row>
    <row r="495">
      <c r="C495" s="61"/>
      <c r="H495" s="61"/>
      <c r="I495" s="61"/>
      <c r="J495" s="61"/>
      <c r="K495" s="61"/>
    </row>
    <row r="496">
      <c r="C496" s="61"/>
      <c r="H496" s="61"/>
      <c r="I496" s="61"/>
      <c r="J496" s="61"/>
      <c r="K496" s="61"/>
    </row>
    <row r="497">
      <c r="C497" s="61"/>
      <c r="H497" s="61"/>
      <c r="I497" s="61"/>
      <c r="J497" s="61"/>
      <c r="K497" s="61"/>
    </row>
    <row r="498">
      <c r="C498" s="61"/>
      <c r="H498" s="61"/>
      <c r="I498" s="61"/>
      <c r="J498" s="61"/>
      <c r="K498" s="61"/>
    </row>
    <row r="499">
      <c r="C499" s="61"/>
      <c r="H499" s="61"/>
      <c r="I499" s="61"/>
      <c r="J499" s="61"/>
      <c r="K499" s="61"/>
    </row>
    <row r="500">
      <c r="C500" s="61"/>
      <c r="H500" s="61"/>
      <c r="I500" s="61"/>
      <c r="J500" s="61"/>
      <c r="K500" s="61"/>
    </row>
    <row r="501">
      <c r="C501" s="61"/>
      <c r="H501" s="61"/>
      <c r="I501" s="61"/>
      <c r="J501" s="61"/>
      <c r="K501" s="61"/>
    </row>
    <row r="502">
      <c r="C502" s="61"/>
      <c r="H502" s="61"/>
      <c r="I502" s="61"/>
      <c r="J502" s="61"/>
      <c r="K502" s="61"/>
    </row>
    <row r="503">
      <c r="C503" s="61"/>
      <c r="H503" s="61"/>
      <c r="I503" s="61"/>
      <c r="J503" s="61"/>
      <c r="K503" s="61"/>
    </row>
    <row r="504">
      <c r="C504" s="61"/>
      <c r="H504" s="61"/>
      <c r="I504" s="61"/>
      <c r="J504" s="61"/>
      <c r="K504" s="61"/>
    </row>
    <row r="505">
      <c r="C505" s="61"/>
      <c r="H505" s="61"/>
      <c r="I505" s="61"/>
      <c r="J505" s="61"/>
      <c r="K505" s="61"/>
    </row>
    <row r="506">
      <c r="C506" s="61"/>
      <c r="H506" s="61"/>
      <c r="I506" s="61"/>
      <c r="J506" s="61"/>
      <c r="K506" s="61"/>
    </row>
    <row r="507">
      <c r="C507" s="61"/>
      <c r="H507" s="61"/>
      <c r="I507" s="61"/>
      <c r="J507" s="61"/>
      <c r="K507" s="61"/>
    </row>
    <row r="508">
      <c r="C508" s="61"/>
      <c r="H508" s="61"/>
      <c r="I508" s="61"/>
      <c r="J508" s="61"/>
      <c r="K508" s="61"/>
    </row>
    <row r="509">
      <c r="C509" s="61"/>
      <c r="H509" s="61"/>
      <c r="I509" s="61"/>
      <c r="J509" s="61"/>
      <c r="K509" s="61"/>
    </row>
    <row r="510">
      <c r="C510" s="61"/>
      <c r="H510" s="61"/>
      <c r="I510" s="61"/>
      <c r="J510" s="61"/>
      <c r="K510" s="61"/>
    </row>
    <row r="511">
      <c r="C511" s="61"/>
      <c r="H511" s="61"/>
      <c r="I511" s="61"/>
      <c r="J511" s="61"/>
      <c r="K511" s="61"/>
    </row>
    <row r="512">
      <c r="C512" s="61"/>
      <c r="H512" s="61"/>
      <c r="I512" s="61"/>
      <c r="J512" s="61"/>
      <c r="K512" s="61"/>
    </row>
    <row r="513">
      <c r="C513" s="61"/>
      <c r="H513" s="61"/>
      <c r="I513" s="61"/>
      <c r="J513" s="61"/>
      <c r="K513" s="61"/>
    </row>
    <row r="514">
      <c r="C514" s="61"/>
      <c r="H514" s="61"/>
      <c r="I514" s="61"/>
      <c r="J514" s="61"/>
      <c r="K514" s="61"/>
    </row>
    <row r="515">
      <c r="C515" s="61"/>
      <c r="H515" s="61"/>
      <c r="I515" s="61"/>
      <c r="J515" s="61"/>
      <c r="K515" s="61"/>
    </row>
    <row r="516">
      <c r="C516" s="61"/>
      <c r="H516" s="61"/>
      <c r="I516" s="61"/>
      <c r="J516" s="61"/>
      <c r="K516" s="61"/>
    </row>
    <row r="517">
      <c r="C517" s="61"/>
      <c r="H517" s="61"/>
      <c r="I517" s="61"/>
      <c r="J517" s="61"/>
      <c r="K517" s="61"/>
    </row>
    <row r="518">
      <c r="C518" s="61"/>
      <c r="H518" s="61"/>
      <c r="I518" s="61"/>
      <c r="J518" s="61"/>
      <c r="K518" s="61"/>
    </row>
    <row r="519">
      <c r="C519" s="61"/>
      <c r="H519" s="61"/>
      <c r="I519" s="61"/>
      <c r="J519" s="61"/>
      <c r="K519" s="61"/>
    </row>
    <row r="520">
      <c r="C520" s="61"/>
      <c r="H520" s="61"/>
      <c r="I520" s="61"/>
      <c r="J520" s="61"/>
      <c r="K520" s="61"/>
    </row>
    <row r="521">
      <c r="C521" s="61"/>
      <c r="H521" s="61"/>
      <c r="I521" s="61"/>
      <c r="J521" s="61"/>
      <c r="K521" s="61"/>
    </row>
    <row r="522">
      <c r="C522" s="61"/>
      <c r="H522" s="61"/>
      <c r="I522" s="61"/>
      <c r="J522" s="61"/>
      <c r="K522" s="61"/>
    </row>
    <row r="523">
      <c r="C523" s="61"/>
      <c r="H523" s="61"/>
      <c r="I523" s="61"/>
      <c r="J523" s="61"/>
      <c r="K523" s="61"/>
    </row>
    <row r="524">
      <c r="C524" s="61"/>
      <c r="H524" s="61"/>
      <c r="I524" s="61"/>
      <c r="J524" s="61"/>
      <c r="K524" s="61"/>
    </row>
    <row r="525">
      <c r="C525" s="61"/>
      <c r="H525" s="61"/>
      <c r="I525" s="61"/>
      <c r="J525" s="61"/>
      <c r="K525" s="61"/>
    </row>
    <row r="526">
      <c r="C526" s="61"/>
      <c r="H526" s="61"/>
      <c r="I526" s="61"/>
      <c r="J526" s="61"/>
      <c r="K526" s="61"/>
    </row>
    <row r="527">
      <c r="C527" s="61"/>
      <c r="H527" s="61"/>
      <c r="I527" s="61"/>
      <c r="J527" s="61"/>
      <c r="K527" s="61"/>
    </row>
    <row r="528">
      <c r="C528" s="61"/>
      <c r="H528" s="61"/>
      <c r="I528" s="61"/>
      <c r="J528" s="61"/>
      <c r="K528" s="61"/>
    </row>
    <row r="529">
      <c r="C529" s="61"/>
      <c r="H529" s="61"/>
      <c r="I529" s="61"/>
      <c r="J529" s="61"/>
      <c r="K529" s="61"/>
    </row>
    <row r="530">
      <c r="C530" s="61"/>
      <c r="H530" s="61"/>
      <c r="I530" s="61"/>
      <c r="J530" s="61"/>
      <c r="K530" s="61"/>
    </row>
    <row r="531">
      <c r="C531" s="61"/>
      <c r="H531" s="61"/>
      <c r="I531" s="61"/>
      <c r="J531" s="61"/>
      <c r="K531" s="61"/>
    </row>
    <row r="532">
      <c r="C532" s="61"/>
      <c r="H532" s="61"/>
      <c r="I532" s="61"/>
      <c r="J532" s="61"/>
      <c r="K532" s="61"/>
    </row>
    <row r="533">
      <c r="C533" s="61"/>
      <c r="H533" s="61"/>
      <c r="I533" s="61"/>
      <c r="J533" s="61"/>
      <c r="K533" s="61"/>
    </row>
    <row r="534">
      <c r="C534" s="61"/>
      <c r="H534" s="61"/>
      <c r="I534" s="61"/>
      <c r="J534" s="61"/>
      <c r="K534" s="61"/>
    </row>
    <row r="535">
      <c r="C535" s="61"/>
      <c r="H535" s="61"/>
      <c r="I535" s="61"/>
      <c r="J535" s="61"/>
      <c r="K535" s="61"/>
    </row>
    <row r="536">
      <c r="C536" s="61"/>
      <c r="H536" s="61"/>
      <c r="I536" s="61"/>
      <c r="J536" s="61"/>
      <c r="K536" s="61"/>
    </row>
    <row r="537">
      <c r="C537" s="61"/>
      <c r="H537" s="61"/>
      <c r="I537" s="61"/>
      <c r="J537" s="61"/>
      <c r="K537" s="61"/>
    </row>
    <row r="538">
      <c r="C538" s="61"/>
      <c r="H538" s="61"/>
      <c r="I538" s="61"/>
      <c r="J538" s="61"/>
      <c r="K538" s="61"/>
    </row>
    <row r="539">
      <c r="C539" s="61"/>
      <c r="H539" s="61"/>
      <c r="I539" s="61"/>
      <c r="J539" s="61"/>
      <c r="K539" s="61"/>
    </row>
    <row r="540">
      <c r="C540" s="61"/>
      <c r="H540" s="61"/>
      <c r="I540" s="61"/>
      <c r="J540" s="61"/>
      <c r="K540" s="61"/>
    </row>
    <row r="541">
      <c r="C541" s="61"/>
      <c r="H541" s="61"/>
      <c r="I541" s="61"/>
      <c r="J541" s="61"/>
      <c r="K541" s="61"/>
    </row>
    <row r="542">
      <c r="C542" s="61"/>
      <c r="H542" s="61"/>
      <c r="I542" s="61"/>
      <c r="J542" s="61"/>
      <c r="K542" s="61"/>
    </row>
    <row r="543">
      <c r="C543" s="61"/>
      <c r="H543" s="61"/>
      <c r="I543" s="61"/>
      <c r="J543" s="61"/>
      <c r="K543" s="61"/>
    </row>
    <row r="544">
      <c r="C544" s="61"/>
      <c r="H544" s="61"/>
      <c r="I544" s="61"/>
      <c r="J544" s="61"/>
      <c r="K544" s="61"/>
    </row>
    <row r="545">
      <c r="C545" s="61"/>
      <c r="H545" s="61"/>
      <c r="I545" s="61"/>
      <c r="J545" s="61"/>
      <c r="K545" s="61"/>
    </row>
    <row r="546">
      <c r="C546" s="61"/>
      <c r="H546" s="61"/>
      <c r="I546" s="61"/>
      <c r="J546" s="61"/>
      <c r="K546" s="61"/>
    </row>
    <row r="547">
      <c r="C547" s="61"/>
      <c r="H547" s="61"/>
      <c r="I547" s="61"/>
      <c r="J547" s="61"/>
      <c r="K547" s="61"/>
    </row>
    <row r="548">
      <c r="C548" s="61"/>
      <c r="H548" s="61"/>
      <c r="I548" s="61"/>
      <c r="J548" s="61"/>
      <c r="K548" s="61"/>
    </row>
    <row r="549">
      <c r="C549" s="61"/>
      <c r="H549" s="61"/>
      <c r="I549" s="61"/>
      <c r="J549" s="61"/>
      <c r="K549" s="61"/>
    </row>
    <row r="550">
      <c r="C550" s="61"/>
      <c r="H550" s="61"/>
      <c r="I550" s="61"/>
      <c r="J550" s="61"/>
      <c r="K550" s="61"/>
    </row>
    <row r="551">
      <c r="C551" s="61"/>
      <c r="H551" s="61"/>
      <c r="I551" s="61"/>
      <c r="J551" s="61"/>
      <c r="K551" s="61"/>
    </row>
    <row r="552">
      <c r="C552" s="61"/>
      <c r="H552" s="61"/>
      <c r="I552" s="61"/>
      <c r="J552" s="61"/>
      <c r="K552" s="61"/>
    </row>
    <row r="553">
      <c r="C553" s="61"/>
      <c r="H553" s="61"/>
      <c r="I553" s="61"/>
      <c r="J553" s="61"/>
      <c r="K553" s="61"/>
    </row>
    <row r="554">
      <c r="C554" s="61"/>
      <c r="H554" s="61"/>
      <c r="I554" s="61"/>
      <c r="J554" s="61"/>
      <c r="K554" s="61"/>
    </row>
    <row r="555">
      <c r="C555" s="61"/>
      <c r="H555" s="61"/>
      <c r="I555" s="61"/>
      <c r="J555" s="61"/>
      <c r="K555" s="61"/>
    </row>
    <row r="556">
      <c r="C556" s="61"/>
      <c r="H556" s="61"/>
      <c r="I556" s="61"/>
      <c r="J556" s="61"/>
      <c r="K556" s="61"/>
    </row>
    <row r="557">
      <c r="C557" s="61"/>
      <c r="H557" s="61"/>
      <c r="I557" s="61"/>
      <c r="J557" s="61"/>
      <c r="K557" s="61"/>
    </row>
    <row r="558">
      <c r="C558" s="61"/>
      <c r="H558" s="61"/>
      <c r="I558" s="61"/>
      <c r="J558" s="61"/>
      <c r="K558" s="61"/>
    </row>
    <row r="559">
      <c r="C559" s="61"/>
      <c r="H559" s="61"/>
      <c r="I559" s="61"/>
      <c r="J559" s="61"/>
      <c r="K559" s="61"/>
    </row>
    <row r="560">
      <c r="C560" s="61"/>
      <c r="H560" s="61"/>
      <c r="I560" s="61"/>
      <c r="J560" s="61"/>
      <c r="K560" s="61"/>
    </row>
    <row r="561">
      <c r="C561" s="61"/>
      <c r="H561" s="61"/>
      <c r="I561" s="61"/>
      <c r="J561" s="61"/>
      <c r="K561" s="61"/>
    </row>
    <row r="562">
      <c r="C562" s="61"/>
      <c r="H562" s="61"/>
      <c r="I562" s="61"/>
      <c r="J562" s="61"/>
      <c r="K562" s="61"/>
    </row>
    <row r="563">
      <c r="C563" s="61"/>
      <c r="H563" s="61"/>
      <c r="I563" s="61"/>
      <c r="J563" s="61"/>
      <c r="K563" s="61"/>
    </row>
    <row r="564">
      <c r="C564" s="61"/>
      <c r="H564" s="61"/>
      <c r="I564" s="61"/>
      <c r="J564" s="61"/>
      <c r="K564" s="61"/>
    </row>
    <row r="565">
      <c r="C565" s="61"/>
      <c r="H565" s="61"/>
      <c r="I565" s="61"/>
      <c r="J565" s="61"/>
      <c r="K565" s="61"/>
    </row>
    <row r="566">
      <c r="C566" s="61"/>
      <c r="H566" s="61"/>
      <c r="I566" s="61"/>
      <c r="J566" s="61"/>
      <c r="K566" s="61"/>
    </row>
    <row r="567">
      <c r="C567" s="61"/>
      <c r="H567" s="61"/>
      <c r="I567" s="61"/>
      <c r="J567" s="61"/>
      <c r="K567" s="61"/>
    </row>
    <row r="568">
      <c r="C568" s="61"/>
      <c r="H568" s="61"/>
      <c r="I568" s="61"/>
      <c r="J568" s="61"/>
      <c r="K568" s="61"/>
    </row>
    <row r="569">
      <c r="C569" s="61"/>
      <c r="H569" s="61"/>
      <c r="I569" s="61"/>
      <c r="J569" s="61"/>
      <c r="K569" s="61"/>
    </row>
    <row r="570">
      <c r="C570" s="61"/>
      <c r="H570" s="61"/>
      <c r="I570" s="61"/>
      <c r="J570" s="61"/>
      <c r="K570" s="61"/>
    </row>
    <row r="571">
      <c r="C571" s="61"/>
      <c r="H571" s="61"/>
      <c r="I571" s="61"/>
      <c r="J571" s="61"/>
      <c r="K571" s="61"/>
    </row>
    <row r="572">
      <c r="C572" s="61"/>
      <c r="H572" s="61"/>
      <c r="I572" s="61"/>
      <c r="J572" s="61"/>
      <c r="K572" s="61"/>
    </row>
    <row r="573">
      <c r="C573" s="61"/>
      <c r="H573" s="61"/>
      <c r="I573" s="61"/>
      <c r="J573" s="61"/>
      <c r="K573" s="61"/>
    </row>
    <row r="574">
      <c r="C574" s="61"/>
      <c r="H574" s="61"/>
      <c r="I574" s="61"/>
      <c r="J574" s="61"/>
      <c r="K574" s="61"/>
    </row>
    <row r="575">
      <c r="C575" s="61"/>
      <c r="H575" s="61"/>
      <c r="I575" s="61"/>
      <c r="J575" s="61"/>
      <c r="K575" s="61"/>
    </row>
    <row r="576">
      <c r="C576" s="61"/>
      <c r="H576" s="61"/>
      <c r="I576" s="61"/>
      <c r="J576" s="61"/>
      <c r="K576" s="61"/>
    </row>
    <row r="577">
      <c r="C577" s="61"/>
      <c r="H577" s="61"/>
      <c r="I577" s="61"/>
      <c r="J577" s="61"/>
      <c r="K577" s="61"/>
    </row>
    <row r="578">
      <c r="C578" s="61"/>
      <c r="H578" s="61"/>
      <c r="I578" s="61"/>
      <c r="J578" s="61"/>
      <c r="K578" s="61"/>
    </row>
    <row r="579">
      <c r="C579" s="61"/>
      <c r="H579" s="61"/>
      <c r="I579" s="61"/>
      <c r="J579" s="61"/>
      <c r="K579" s="61"/>
    </row>
    <row r="580">
      <c r="C580" s="61"/>
      <c r="H580" s="61"/>
      <c r="I580" s="61"/>
      <c r="J580" s="61"/>
      <c r="K580" s="61"/>
    </row>
    <row r="581">
      <c r="C581" s="61"/>
      <c r="H581" s="61"/>
      <c r="I581" s="61"/>
      <c r="J581" s="61"/>
      <c r="K581" s="61"/>
    </row>
    <row r="582">
      <c r="C582" s="61"/>
      <c r="H582" s="61"/>
      <c r="I582" s="61"/>
      <c r="J582" s="61"/>
      <c r="K582" s="61"/>
    </row>
    <row r="583">
      <c r="C583" s="61"/>
      <c r="H583" s="61"/>
      <c r="I583" s="61"/>
      <c r="J583" s="61"/>
      <c r="K583" s="61"/>
    </row>
    <row r="584">
      <c r="C584" s="61"/>
      <c r="H584" s="61"/>
      <c r="I584" s="61"/>
      <c r="J584" s="61"/>
      <c r="K584" s="61"/>
    </row>
    <row r="585">
      <c r="C585" s="61"/>
      <c r="H585" s="61"/>
      <c r="I585" s="61"/>
      <c r="J585" s="61"/>
      <c r="K585" s="61"/>
    </row>
    <row r="586">
      <c r="C586" s="61"/>
      <c r="H586" s="61"/>
      <c r="I586" s="61"/>
      <c r="J586" s="61"/>
      <c r="K586" s="61"/>
    </row>
    <row r="587">
      <c r="C587" s="61"/>
      <c r="H587" s="61"/>
      <c r="I587" s="61"/>
      <c r="J587" s="61"/>
      <c r="K587" s="61"/>
    </row>
    <row r="588">
      <c r="C588" s="61"/>
      <c r="H588" s="61"/>
      <c r="I588" s="61"/>
      <c r="J588" s="61"/>
      <c r="K588" s="61"/>
    </row>
    <row r="589">
      <c r="C589" s="61"/>
      <c r="H589" s="61"/>
      <c r="I589" s="61"/>
      <c r="J589" s="61"/>
      <c r="K589" s="61"/>
    </row>
    <row r="590">
      <c r="C590" s="61"/>
      <c r="H590" s="61"/>
      <c r="I590" s="61"/>
      <c r="J590" s="61"/>
      <c r="K590" s="61"/>
    </row>
    <row r="591">
      <c r="C591" s="61"/>
      <c r="H591" s="61"/>
      <c r="I591" s="61"/>
      <c r="J591" s="61"/>
      <c r="K591" s="61"/>
    </row>
    <row r="592">
      <c r="C592" s="61"/>
      <c r="H592" s="61"/>
      <c r="I592" s="61"/>
      <c r="J592" s="61"/>
      <c r="K592" s="61"/>
    </row>
    <row r="593">
      <c r="C593" s="61"/>
      <c r="H593" s="61"/>
      <c r="I593" s="61"/>
      <c r="J593" s="61"/>
      <c r="K593" s="61"/>
    </row>
    <row r="594">
      <c r="C594" s="61"/>
      <c r="H594" s="61"/>
      <c r="I594" s="61"/>
      <c r="J594" s="61"/>
      <c r="K594" s="61"/>
    </row>
    <row r="595">
      <c r="C595" s="61"/>
      <c r="H595" s="61"/>
      <c r="I595" s="61"/>
      <c r="J595" s="61"/>
      <c r="K595" s="61"/>
    </row>
    <row r="596">
      <c r="C596" s="61"/>
      <c r="H596" s="61"/>
      <c r="I596" s="61"/>
      <c r="J596" s="61"/>
      <c r="K596" s="61"/>
    </row>
    <row r="597">
      <c r="C597" s="61"/>
      <c r="H597" s="61"/>
      <c r="I597" s="61"/>
      <c r="J597" s="61"/>
      <c r="K597" s="61"/>
    </row>
    <row r="598">
      <c r="C598" s="61"/>
      <c r="H598" s="61"/>
      <c r="I598" s="61"/>
      <c r="J598" s="61"/>
      <c r="K598" s="61"/>
    </row>
    <row r="599">
      <c r="C599" s="61"/>
      <c r="H599" s="61"/>
      <c r="I599" s="61"/>
      <c r="J599" s="61"/>
      <c r="K599" s="61"/>
    </row>
    <row r="600">
      <c r="C600" s="61"/>
      <c r="H600" s="61"/>
      <c r="I600" s="61"/>
      <c r="J600" s="61"/>
      <c r="K600" s="61"/>
    </row>
    <row r="601">
      <c r="C601" s="61"/>
      <c r="H601" s="61"/>
      <c r="I601" s="61"/>
      <c r="J601" s="61"/>
      <c r="K601" s="61"/>
    </row>
    <row r="602">
      <c r="C602" s="61"/>
      <c r="H602" s="61"/>
      <c r="I602" s="61"/>
      <c r="J602" s="61"/>
      <c r="K602" s="61"/>
    </row>
    <row r="603">
      <c r="C603" s="61"/>
      <c r="H603" s="61"/>
      <c r="I603" s="61"/>
      <c r="J603" s="61"/>
      <c r="K603" s="61"/>
    </row>
    <row r="604">
      <c r="C604" s="61"/>
      <c r="H604" s="61"/>
      <c r="I604" s="61"/>
      <c r="J604" s="61"/>
      <c r="K604" s="61"/>
    </row>
    <row r="605">
      <c r="C605" s="61"/>
      <c r="H605" s="61"/>
      <c r="I605" s="61"/>
      <c r="J605" s="61"/>
      <c r="K605" s="61"/>
    </row>
    <row r="606">
      <c r="C606" s="61"/>
      <c r="H606" s="61"/>
      <c r="I606" s="61"/>
      <c r="J606" s="61"/>
      <c r="K606" s="61"/>
    </row>
    <row r="607">
      <c r="C607" s="61"/>
      <c r="H607" s="61"/>
      <c r="I607" s="61"/>
      <c r="J607" s="61"/>
      <c r="K607" s="61"/>
    </row>
    <row r="608">
      <c r="C608" s="61"/>
      <c r="H608" s="61"/>
      <c r="I608" s="61"/>
      <c r="J608" s="61"/>
      <c r="K608" s="61"/>
    </row>
    <row r="609">
      <c r="C609" s="61"/>
      <c r="H609" s="61"/>
      <c r="I609" s="61"/>
      <c r="J609" s="61"/>
      <c r="K609" s="61"/>
    </row>
    <row r="610">
      <c r="C610" s="61"/>
      <c r="H610" s="61"/>
      <c r="I610" s="61"/>
      <c r="J610" s="61"/>
      <c r="K610" s="61"/>
    </row>
    <row r="611">
      <c r="C611" s="61"/>
      <c r="H611" s="61"/>
      <c r="I611" s="61"/>
      <c r="J611" s="61"/>
      <c r="K611" s="61"/>
    </row>
    <row r="612">
      <c r="C612" s="61"/>
      <c r="H612" s="61"/>
      <c r="I612" s="61"/>
      <c r="J612" s="61"/>
      <c r="K612" s="61"/>
    </row>
    <row r="613">
      <c r="C613" s="61"/>
      <c r="H613" s="61"/>
      <c r="I613" s="61"/>
      <c r="J613" s="61"/>
      <c r="K613" s="61"/>
    </row>
    <row r="614">
      <c r="C614" s="61"/>
      <c r="H614" s="61"/>
      <c r="I614" s="61"/>
      <c r="J614" s="61"/>
      <c r="K614" s="61"/>
    </row>
    <row r="615">
      <c r="C615" s="61"/>
      <c r="H615" s="61"/>
      <c r="I615" s="61"/>
      <c r="J615" s="61"/>
      <c r="K615" s="61"/>
    </row>
    <row r="616">
      <c r="C616" s="61"/>
      <c r="H616" s="61"/>
      <c r="I616" s="61"/>
      <c r="J616" s="61"/>
      <c r="K616" s="61"/>
    </row>
    <row r="617">
      <c r="C617" s="61"/>
      <c r="H617" s="61"/>
      <c r="I617" s="61"/>
      <c r="J617" s="61"/>
      <c r="K617" s="61"/>
    </row>
    <row r="618">
      <c r="C618" s="61"/>
      <c r="H618" s="61"/>
      <c r="I618" s="61"/>
      <c r="J618" s="61"/>
      <c r="K618" s="61"/>
    </row>
    <row r="619">
      <c r="C619" s="61"/>
      <c r="H619" s="61"/>
      <c r="I619" s="61"/>
      <c r="J619" s="61"/>
      <c r="K619" s="61"/>
    </row>
    <row r="620">
      <c r="C620" s="61"/>
      <c r="H620" s="61"/>
      <c r="I620" s="61"/>
      <c r="J620" s="61"/>
      <c r="K620" s="61"/>
    </row>
    <row r="621">
      <c r="C621" s="61"/>
      <c r="H621" s="61"/>
      <c r="I621" s="61"/>
      <c r="J621" s="61"/>
      <c r="K621" s="61"/>
    </row>
    <row r="622">
      <c r="C622" s="61"/>
      <c r="H622" s="61"/>
      <c r="I622" s="61"/>
      <c r="J622" s="61"/>
      <c r="K622" s="61"/>
    </row>
    <row r="623">
      <c r="C623" s="61"/>
      <c r="H623" s="61"/>
      <c r="I623" s="61"/>
      <c r="J623" s="61"/>
      <c r="K623" s="61"/>
    </row>
    <row r="624">
      <c r="C624" s="61"/>
      <c r="H624" s="61"/>
      <c r="I624" s="61"/>
      <c r="J624" s="61"/>
      <c r="K624" s="61"/>
    </row>
    <row r="625">
      <c r="C625" s="61"/>
      <c r="H625" s="61"/>
      <c r="I625" s="61"/>
      <c r="J625" s="61"/>
      <c r="K625" s="61"/>
    </row>
    <row r="626">
      <c r="C626" s="61"/>
      <c r="H626" s="61"/>
      <c r="I626" s="61"/>
      <c r="J626" s="61"/>
      <c r="K626" s="61"/>
    </row>
    <row r="627">
      <c r="C627" s="61"/>
      <c r="H627" s="61"/>
      <c r="I627" s="61"/>
      <c r="J627" s="61"/>
      <c r="K627" s="61"/>
    </row>
    <row r="628">
      <c r="C628" s="61"/>
      <c r="H628" s="61"/>
      <c r="I628" s="61"/>
      <c r="J628" s="61"/>
      <c r="K628" s="61"/>
    </row>
    <row r="629">
      <c r="C629" s="61"/>
      <c r="H629" s="61"/>
      <c r="I629" s="61"/>
      <c r="J629" s="61"/>
      <c r="K629" s="61"/>
    </row>
    <row r="630">
      <c r="C630" s="61"/>
      <c r="H630" s="61"/>
      <c r="I630" s="61"/>
      <c r="J630" s="61"/>
      <c r="K630" s="61"/>
    </row>
    <row r="631">
      <c r="C631" s="61"/>
      <c r="H631" s="61"/>
      <c r="I631" s="61"/>
      <c r="J631" s="61"/>
      <c r="K631" s="61"/>
    </row>
    <row r="632">
      <c r="C632" s="61"/>
      <c r="H632" s="61"/>
      <c r="I632" s="61"/>
      <c r="J632" s="61"/>
      <c r="K632" s="61"/>
    </row>
    <row r="633">
      <c r="C633" s="61"/>
      <c r="H633" s="61"/>
      <c r="I633" s="61"/>
      <c r="J633" s="61"/>
      <c r="K633" s="61"/>
    </row>
    <row r="634">
      <c r="C634" s="61"/>
      <c r="H634" s="61"/>
      <c r="I634" s="61"/>
      <c r="J634" s="61"/>
      <c r="K634" s="61"/>
    </row>
    <row r="635">
      <c r="C635" s="61"/>
      <c r="H635" s="61"/>
      <c r="I635" s="61"/>
      <c r="J635" s="61"/>
      <c r="K635" s="61"/>
    </row>
    <row r="636">
      <c r="C636" s="61"/>
      <c r="H636" s="61"/>
      <c r="I636" s="61"/>
      <c r="J636" s="61"/>
      <c r="K636" s="61"/>
    </row>
    <row r="637">
      <c r="C637" s="61"/>
      <c r="H637" s="61"/>
      <c r="I637" s="61"/>
      <c r="J637" s="61"/>
      <c r="K637" s="61"/>
    </row>
    <row r="638">
      <c r="C638" s="61"/>
      <c r="H638" s="61"/>
      <c r="I638" s="61"/>
      <c r="J638" s="61"/>
      <c r="K638" s="61"/>
    </row>
    <row r="639">
      <c r="C639" s="61"/>
      <c r="H639" s="61"/>
      <c r="I639" s="61"/>
      <c r="J639" s="61"/>
      <c r="K639" s="61"/>
    </row>
    <row r="640">
      <c r="C640" s="61"/>
      <c r="H640" s="61"/>
      <c r="I640" s="61"/>
      <c r="J640" s="61"/>
      <c r="K640" s="61"/>
    </row>
    <row r="641">
      <c r="C641" s="61"/>
      <c r="H641" s="61"/>
      <c r="I641" s="61"/>
      <c r="J641" s="61"/>
      <c r="K641" s="61"/>
    </row>
    <row r="642">
      <c r="C642" s="61"/>
      <c r="H642" s="61"/>
      <c r="I642" s="61"/>
      <c r="J642" s="61"/>
      <c r="K642" s="61"/>
    </row>
    <row r="643">
      <c r="C643" s="61"/>
      <c r="H643" s="61"/>
      <c r="I643" s="61"/>
      <c r="J643" s="61"/>
      <c r="K643" s="61"/>
    </row>
    <row r="644">
      <c r="C644" s="61"/>
      <c r="H644" s="61"/>
      <c r="I644" s="61"/>
      <c r="J644" s="61"/>
      <c r="K644" s="61"/>
    </row>
    <row r="645">
      <c r="C645" s="61"/>
      <c r="H645" s="61"/>
      <c r="I645" s="61"/>
      <c r="J645" s="61"/>
      <c r="K645" s="61"/>
    </row>
    <row r="646">
      <c r="C646" s="61"/>
      <c r="H646" s="61"/>
      <c r="I646" s="61"/>
      <c r="J646" s="61"/>
      <c r="K646" s="61"/>
    </row>
    <row r="647">
      <c r="C647" s="61"/>
      <c r="H647" s="61"/>
      <c r="I647" s="61"/>
      <c r="J647" s="61"/>
      <c r="K647" s="61"/>
    </row>
    <row r="648">
      <c r="C648" s="61"/>
      <c r="H648" s="61"/>
      <c r="I648" s="61"/>
      <c r="J648" s="61"/>
      <c r="K648" s="61"/>
    </row>
    <row r="649">
      <c r="C649" s="61"/>
      <c r="H649" s="61"/>
      <c r="I649" s="61"/>
      <c r="J649" s="61"/>
      <c r="K649" s="61"/>
    </row>
    <row r="650">
      <c r="C650" s="61"/>
      <c r="H650" s="61"/>
      <c r="I650" s="61"/>
      <c r="J650" s="61"/>
      <c r="K650" s="61"/>
    </row>
    <row r="651">
      <c r="C651" s="61"/>
      <c r="H651" s="61"/>
      <c r="I651" s="61"/>
      <c r="J651" s="61"/>
      <c r="K651" s="61"/>
    </row>
    <row r="652">
      <c r="C652" s="61"/>
      <c r="H652" s="61"/>
      <c r="I652" s="61"/>
      <c r="J652" s="61"/>
      <c r="K652" s="61"/>
    </row>
    <row r="653">
      <c r="C653" s="61"/>
      <c r="H653" s="61"/>
      <c r="I653" s="61"/>
      <c r="J653" s="61"/>
      <c r="K653" s="61"/>
    </row>
    <row r="654">
      <c r="C654" s="61"/>
      <c r="H654" s="61"/>
      <c r="I654" s="61"/>
      <c r="J654" s="61"/>
      <c r="K654" s="61"/>
    </row>
    <row r="655">
      <c r="C655" s="61"/>
      <c r="H655" s="61"/>
      <c r="I655" s="61"/>
      <c r="J655" s="61"/>
      <c r="K655" s="61"/>
    </row>
    <row r="656">
      <c r="C656" s="61"/>
      <c r="H656" s="61"/>
      <c r="I656" s="61"/>
      <c r="J656" s="61"/>
      <c r="K656" s="61"/>
    </row>
    <row r="657">
      <c r="C657" s="61"/>
      <c r="H657" s="61"/>
      <c r="I657" s="61"/>
      <c r="J657" s="61"/>
      <c r="K657" s="61"/>
    </row>
    <row r="658">
      <c r="C658" s="61"/>
      <c r="H658" s="61"/>
      <c r="I658" s="61"/>
      <c r="J658" s="61"/>
      <c r="K658" s="61"/>
    </row>
    <row r="659">
      <c r="C659" s="61"/>
      <c r="H659" s="61"/>
      <c r="I659" s="61"/>
      <c r="J659" s="61"/>
      <c r="K659" s="61"/>
    </row>
    <row r="660">
      <c r="C660" s="61"/>
      <c r="H660" s="61"/>
      <c r="I660" s="61"/>
      <c r="J660" s="61"/>
      <c r="K660" s="61"/>
    </row>
    <row r="661">
      <c r="C661" s="61"/>
      <c r="H661" s="61"/>
      <c r="I661" s="61"/>
      <c r="J661" s="61"/>
      <c r="K661" s="61"/>
    </row>
    <row r="662">
      <c r="C662" s="61"/>
      <c r="H662" s="61"/>
      <c r="I662" s="61"/>
      <c r="J662" s="61"/>
      <c r="K662" s="61"/>
    </row>
    <row r="663">
      <c r="C663" s="61"/>
      <c r="H663" s="61"/>
      <c r="I663" s="61"/>
      <c r="J663" s="61"/>
      <c r="K663" s="61"/>
    </row>
    <row r="664">
      <c r="C664" s="61"/>
      <c r="H664" s="61"/>
      <c r="I664" s="61"/>
      <c r="J664" s="61"/>
      <c r="K664" s="61"/>
    </row>
    <row r="665">
      <c r="C665" s="61"/>
      <c r="H665" s="61"/>
      <c r="I665" s="61"/>
      <c r="J665" s="61"/>
      <c r="K665" s="61"/>
    </row>
    <row r="666">
      <c r="C666" s="61"/>
      <c r="H666" s="61"/>
      <c r="I666" s="61"/>
      <c r="J666" s="61"/>
      <c r="K666" s="61"/>
    </row>
    <row r="667">
      <c r="C667" s="61"/>
      <c r="H667" s="61"/>
      <c r="I667" s="61"/>
      <c r="J667" s="61"/>
      <c r="K667" s="61"/>
    </row>
    <row r="668">
      <c r="C668" s="61"/>
      <c r="H668" s="61"/>
      <c r="I668" s="61"/>
      <c r="J668" s="61"/>
      <c r="K668" s="61"/>
    </row>
    <row r="669">
      <c r="C669" s="61"/>
      <c r="H669" s="61"/>
      <c r="I669" s="61"/>
      <c r="J669" s="61"/>
      <c r="K669" s="61"/>
    </row>
    <row r="670">
      <c r="C670" s="61"/>
      <c r="H670" s="61"/>
      <c r="I670" s="61"/>
      <c r="J670" s="61"/>
      <c r="K670" s="61"/>
    </row>
    <row r="671">
      <c r="C671" s="61"/>
      <c r="H671" s="61"/>
      <c r="I671" s="61"/>
      <c r="J671" s="61"/>
      <c r="K671" s="61"/>
    </row>
    <row r="672">
      <c r="C672" s="61"/>
      <c r="H672" s="61"/>
      <c r="I672" s="61"/>
      <c r="J672" s="61"/>
      <c r="K672" s="61"/>
    </row>
    <row r="673">
      <c r="C673" s="61"/>
      <c r="H673" s="61"/>
      <c r="I673" s="61"/>
      <c r="J673" s="61"/>
      <c r="K673" s="61"/>
    </row>
    <row r="674">
      <c r="C674" s="61"/>
      <c r="H674" s="61"/>
      <c r="I674" s="61"/>
      <c r="J674" s="61"/>
      <c r="K674" s="61"/>
    </row>
    <row r="675">
      <c r="C675" s="61"/>
      <c r="H675" s="61"/>
      <c r="I675" s="61"/>
      <c r="J675" s="61"/>
      <c r="K675" s="61"/>
    </row>
    <row r="676">
      <c r="C676" s="61"/>
      <c r="H676" s="61"/>
      <c r="I676" s="61"/>
      <c r="J676" s="61"/>
      <c r="K676" s="61"/>
    </row>
    <row r="677">
      <c r="C677" s="61"/>
      <c r="H677" s="61"/>
      <c r="I677" s="61"/>
      <c r="J677" s="61"/>
      <c r="K677" s="61"/>
    </row>
    <row r="678">
      <c r="C678" s="61"/>
      <c r="H678" s="61"/>
      <c r="I678" s="61"/>
      <c r="J678" s="61"/>
      <c r="K678" s="61"/>
    </row>
    <row r="679">
      <c r="C679" s="61"/>
      <c r="H679" s="61"/>
      <c r="I679" s="61"/>
      <c r="J679" s="61"/>
      <c r="K679" s="61"/>
    </row>
    <row r="680">
      <c r="C680" s="61"/>
      <c r="H680" s="61"/>
      <c r="I680" s="61"/>
      <c r="J680" s="61"/>
      <c r="K680" s="61"/>
    </row>
    <row r="681">
      <c r="C681" s="61"/>
      <c r="H681" s="61"/>
      <c r="I681" s="61"/>
      <c r="J681" s="61"/>
      <c r="K681" s="61"/>
    </row>
    <row r="682">
      <c r="C682" s="61"/>
      <c r="H682" s="61"/>
      <c r="I682" s="61"/>
      <c r="J682" s="61"/>
      <c r="K682" s="61"/>
    </row>
    <row r="683">
      <c r="C683" s="61"/>
      <c r="H683" s="61"/>
      <c r="I683" s="61"/>
      <c r="J683" s="61"/>
      <c r="K683" s="61"/>
    </row>
    <row r="684">
      <c r="C684" s="61"/>
      <c r="H684" s="61"/>
      <c r="I684" s="61"/>
      <c r="J684" s="61"/>
      <c r="K684" s="61"/>
    </row>
    <row r="685">
      <c r="C685" s="61"/>
      <c r="H685" s="61"/>
      <c r="I685" s="61"/>
      <c r="J685" s="61"/>
      <c r="K685" s="61"/>
    </row>
    <row r="686">
      <c r="C686" s="61"/>
      <c r="H686" s="61"/>
      <c r="I686" s="61"/>
      <c r="J686" s="61"/>
      <c r="K686" s="61"/>
    </row>
    <row r="687">
      <c r="C687" s="61"/>
      <c r="H687" s="61"/>
      <c r="I687" s="61"/>
      <c r="J687" s="61"/>
      <c r="K687" s="61"/>
    </row>
    <row r="688">
      <c r="C688" s="61"/>
      <c r="H688" s="61"/>
      <c r="I688" s="61"/>
      <c r="J688" s="61"/>
      <c r="K688" s="61"/>
    </row>
    <row r="689">
      <c r="C689" s="61"/>
      <c r="H689" s="61"/>
      <c r="I689" s="61"/>
      <c r="J689" s="61"/>
      <c r="K689" s="61"/>
    </row>
    <row r="690">
      <c r="C690" s="61"/>
      <c r="H690" s="61"/>
      <c r="I690" s="61"/>
      <c r="J690" s="61"/>
      <c r="K690" s="61"/>
    </row>
    <row r="691">
      <c r="C691" s="61"/>
      <c r="H691" s="61"/>
      <c r="I691" s="61"/>
      <c r="J691" s="61"/>
      <c r="K691" s="61"/>
    </row>
    <row r="692">
      <c r="C692" s="61"/>
      <c r="H692" s="61"/>
      <c r="I692" s="61"/>
      <c r="J692" s="61"/>
      <c r="K692" s="61"/>
    </row>
    <row r="693">
      <c r="C693" s="61"/>
      <c r="H693" s="61"/>
      <c r="I693" s="61"/>
      <c r="J693" s="61"/>
      <c r="K693" s="61"/>
    </row>
    <row r="694">
      <c r="C694" s="61"/>
      <c r="H694" s="61"/>
      <c r="I694" s="61"/>
      <c r="J694" s="61"/>
      <c r="K694" s="61"/>
    </row>
    <row r="695">
      <c r="C695" s="61"/>
      <c r="H695" s="61"/>
      <c r="I695" s="61"/>
      <c r="J695" s="61"/>
      <c r="K695" s="61"/>
    </row>
    <row r="696">
      <c r="C696" s="61"/>
      <c r="H696" s="61"/>
      <c r="I696" s="61"/>
      <c r="J696" s="61"/>
      <c r="K696" s="61"/>
    </row>
    <row r="697">
      <c r="C697" s="61"/>
      <c r="H697" s="61"/>
      <c r="I697" s="61"/>
      <c r="J697" s="61"/>
      <c r="K697" s="61"/>
    </row>
    <row r="698">
      <c r="C698" s="61"/>
      <c r="H698" s="61"/>
      <c r="I698" s="61"/>
      <c r="J698" s="61"/>
      <c r="K698" s="61"/>
    </row>
    <row r="699">
      <c r="C699" s="61"/>
      <c r="H699" s="61"/>
      <c r="I699" s="61"/>
      <c r="J699" s="61"/>
      <c r="K699" s="61"/>
    </row>
    <row r="700">
      <c r="C700" s="61"/>
      <c r="H700" s="61"/>
      <c r="I700" s="61"/>
      <c r="J700" s="61"/>
      <c r="K700" s="61"/>
    </row>
    <row r="701">
      <c r="C701" s="61"/>
      <c r="H701" s="61"/>
      <c r="I701" s="61"/>
      <c r="J701" s="61"/>
      <c r="K701" s="61"/>
    </row>
    <row r="702">
      <c r="C702" s="61"/>
      <c r="H702" s="61"/>
      <c r="I702" s="61"/>
      <c r="J702" s="61"/>
      <c r="K702" s="61"/>
    </row>
    <row r="703">
      <c r="C703" s="61"/>
      <c r="H703" s="61"/>
      <c r="I703" s="61"/>
      <c r="J703" s="61"/>
      <c r="K703" s="61"/>
    </row>
    <row r="704">
      <c r="C704" s="61"/>
      <c r="H704" s="61"/>
      <c r="I704" s="61"/>
      <c r="J704" s="61"/>
      <c r="K704" s="61"/>
    </row>
    <row r="705">
      <c r="C705" s="61"/>
      <c r="H705" s="61"/>
      <c r="I705" s="61"/>
      <c r="J705" s="61"/>
      <c r="K705" s="61"/>
    </row>
    <row r="706">
      <c r="C706" s="61"/>
      <c r="H706" s="61"/>
      <c r="I706" s="61"/>
      <c r="J706" s="61"/>
      <c r="K706" s="61"/>
    </row>
    <row r="707">
      <c r="C707" s="61"/>
      <c r="H707" s="61"/>
      <c r="I707" s="61"/>
      <c r="J707" s="61"/>
      <c r="K707" s="61"/>
    </row>
    <row r="708">
      <c r="C708" s="61"/>
      <c r="H708" s="61"/>
      <c r="I708" s="61"/>
      <c r="J708" s="61"/>
      <c r="K708" s="61"/>
    </row>
    <row r="709">
      <c r="C709" s="61"/>
      <c r="H709" s="61"/>
      <c r="I709" s="61"/>
      <c r="J709" s="61"/>
      <c r="K709" s="61"/>
    </row>
    <row r="710">
      <c r="C710" s="61"/>
      <c r="H710" s="61"/>
      <c r="I710" s="61"/>
      <c r="J710" s="61"/>
      <c r="K710" s="61"/>
    </row>
    <row r="711">
      <c r="C711" s="61"/>
      <c r="H711" s="61"/>
      <c r="I711" s="61"/>
      <c r="J711" s="61"/>
      <c r="K711" s="61"/>
    </row>
    <row r="712">
      <c r="C712" s="61"/>
      <c r="H712" s="61"/>
      <c r="I712" s="61"/>
      <c r="J712" s="61"/>
      <c r="K712" s="61"/>
    </row>
    <row r="713">
      <c r="C713" s="61"/>
      <c r="H713" s="61"/>
      <c r="I713" s="61"/>
      <c r="J713" s="61"/>
      <c r="K713" s="61"/>
    </row>
    <row r="714">
      <c r="C714" s="61"/>
      <c r="H714" s="61"/>
      <c r="I714" s="61"/>
      <c r="J714" s="61"/>
      <c r="K714" s="61"/>
    </row>
    <row r="715">
      <c r="C715" s="61"/>
      <c r="H715" s="61"/>
      <c r="I715" s="61"/>
      <c r="J715" s="61"/>
      <c r="K715" s="61"/>
    </row>
    <row r="716">
      <c r="C716" s="61"/>
      <c r="H716" s="61"/>
      <c r="I716" s="61"/>
      <c r="J716" s="61"/>
      <c r="K716" s="61"/>
    </row>
    <row r="717">
      <c r="C717" s="61"/>
      <c r="H717" s="61"/>
      <c r="I717" s="61"/>
      <c r="J717" s="61"/>
      <c r="K717" s="61"/>
    </row>
    <row r="718">
      <c r="C718" s="61"/>
      <c r="H718" s="61"/>
      <c r="I718" s="61"/>
      <c r="J718" s="61"/>
      <c r="K718" s="61"/>
    </row>
    <row r="719">
      <c r="C719" s="61"/>
      <c r="H719" s="61"/>
      <c r="I719" s="61"/>
      <c r="J719" s="61"/>
      <c r="K719" s="61"/>
    </row>
    <row r="720">
      <c r="C720" s="61"/>
      <c r="H720" s="61"/>
      <c r="I720" s="61"/>
      <c r="J720" s="61"/>
      <c r="K720" s="61"/>
    </row>
    <row r="721">
      <c r="C721" s="61"/>
      <c r="H721" s="61"/>
      <c r="I721" s="61"/>
      <c r="J721" s="61"/>
      <c r="K721" s="61"/>
    </row>
    <row r="722">
      <c r="C722" s="61"/>
      <c r="H722" s="61"/>
      <c r="I722" s="61"/>
      <c r="J722" s="61"/>
      <c r="K722" s="61"/>
    </row>
    <row r="723">
      <c r="C723" s="61"/>
      <c r="H723" s="61"/>
      <c r="I723" s="61"/>
      <c r="J723" s="61"/>
      <c r="K723" s="61"/>
    </row>
    <row r="724">
      <c r="C724" s="61"/>
      <c r="H724" s="61"/>
      <c r="I724" s="61"/>
      <c r="J724" s="61"/>
      <c r="K724" s="61"/>
    </row>
    <row r="725">
      <c r="C725" s="61"/>
      <c r="H725" s="61"/>
      <c r="I725" s="61"/>
      <c r="J725" s="61"/>
      <c r="K725" s="61"/>
    </row>
    <row r="726">
      <c r="C726" s="61"/>
      <c r="H726" s="61"/>
      <c r="I726" s="61"/>
      <c r="J726" s="61"/>
      <c r="K726" s="61"/>
    </row>
    <row r="727">
      <c r="C727" s="61"/>
      <c r="H727" s="61"/>
      <c r="I727" s="61"/>
      <c r="J727" s="61"/>
      <c r="K727" s="61"/>
    </row>
    <row r="728">
      <c r="C728" s="61"/>
      <c r="H728" s="61"/>
      <c r="I728" s="61"/>
      <c r="J728" s="61"/>
      <c r="K728" s="61"/>
    </row>
    <row r="729">
      <c r="C729" s="61"/>
      <c r="H729" s="61"/>
      <c r="I729" s="61"/>
      <c r="J729" s="61"/>
      <c r="K729" s="61"/>
    </row>
    <row r="730">
      <c r="C730" s="61"/>
      <c r="H730" s="61"/>
      <c r="I730" s="61"/>
      <c r="J730" s="61"/>
      <c r="K730" s="61"/>
    </row>
    <row r="731">
      <c r="C731" s="61"/>
      <c r="H731" s="61"/>
      <c r="I731" s="61"/>
      <c r="J731" s="61"/>
      <c r="K731" s="61"/>
    </row>
    <row r="732">
      <c r="C732" s="61"/>
      <c r="H732" s="61"/>
      <c r="I732" s="61"/>
      <c r="J732" s="61"/>
      <c r="K732" s="61"/>
    </row>
    <row r="733">
      <c r="C733" s="61"/>
      <c r="H733" s="61"/>
      <c r="I733" s="61"/>
      <c r="J733" s="61"/>
      <c r="K733" s="61"/>
    </row>
    <row r="734">
      <c r="C734" s="61"/>
      <c r="H734" s="61"/>
      <c r="I734" s="61"/>
      <c r="J734" s="61"/>
      <c r="K734" s="61"/>
    </row>
    <row r="735">
      <c r="C735" s="61"/>
      <c r="H735" s="61"/>
      <c r="I735" s="61"/>
      <c r="J735" s="61"/>
      <c r="K735" s="61"/>
    </row>
    <row r="736">
      <c r="C736" s="61"/>
      <c r="H736" s="61"/>
      <c r="I736" s="61"/>
      <c r="J736" s="61"/>
      <c r="K736" s="61"/>
    </row>
    <row r="737">
      <c r="C737" s="61"/>
      <c r="H737" s="61"/>
      <c r="I737" s="61"/>
      <c r="J737" s="61"/>
      <c r="K737" s="61"/>
    </row>
    <row r="738">
      <c r="C738" s="61"/>
      <c r="H738" s="61"/>
      <c r="I738" s="61"/>
      <c r="J738" s="61"/>
      <c r="K738" s="61"/>
    </row>
    <row r="739">
      <c r="C739" s="61"/>
      <c r="H739" s="61"/>
      <c r="I739" s="61"/>
      <c r="J739" s="61"/>
      <c r="K739" s="61"/>
    </row>
    <row r="740">
      <c r="C740" s="61"/>
      <c r="H740" s="61"/>
      <c r="I740" s="61"/>
      <c r="J740" s="61"/>
      <c r="K740" s="61"/>
    </row>
    <row r="741">
      <c r="C741" s="61"/>
      <c r="H741" s="61"/>
      <c r="I741" s="61"/>
      <c r="J741" s="61"/>
      <c r="K741" s="61"/>
    </row>
    <row r="742">
      <c r="C742" s="61"/>
      <c r="H742" s="61"/>
      <c r="I742" s="61"/>
      <c r="J742" s="61"/>
      <c r="K742" s="61"/>
    </row>
    <row r="743">
      <c r="C743" s="61"/>
      <c r="H743" s="61"/>
      <c r="I743" s="61"/>
      <c r="J743" s="61"/>
      <c r="K743" s="61"/>
    </row>
    <row r="744">
      <c r="C744" s="61"/>
      <c r="H744" s="61"/>
      <c r="I744" s="61"/>
      <c r="J744" s="61"/>
      <c r="K744" s="61"/>
    </row>
    <row r="745">
      <c r="C745" s="61"/>
      <c r="H745" s="61"/>
      <c r="I745" s="61"/>
      <c r="J745" s="61"/>
      <c r="K745" s="61"/>
    </row>
    <row r="746">
      <c r="C746" s="61"/>
      <c r="H746" s="61"/>
      <c r="I746" s="61"/>
      <c r="J746" s="61"/>
      <c r="K746" s="61"/>
    </row>
    <row r="747">
      <c r="C747" s="61"/>
      <c r="H747" s="61"/>
      <c r="I747" s="61"/>
      <c r="J747" s="61"/>
      <c r="K747" s="61"/>
    </row>
    <row r="748">
      <c r="C748" s="61"/>
      <c r="H748" s="61"/>
      <c r="I748" s="61"/>
      <c r="J748" s="61"/>
      <c r="K748" s="61"/>
    </row>
    <row r="749">
      <c r="C749" s="61"/>
      <c r="H749" s="61"/>
      <c r="I749" s="61"/>
      <c r="J749" s="61"/>
      <c r="K749" s="61"/>
    </row>
    <row r="750">
      <c r="C750" s="61"/>
      <c r="H750" s="61"/>
      <c r="I750" s="61"/>
      <c r="J750" s="61"/>
      <c r="K750" s="61"/>
    </row>
    <row r="751">
      <c r="C751" s="61"/>
      <c r="H751" s="61"/>
      <c r="I751" s="61"/>
      <c r="J751" s="61"/>
      <c r="K751" s="61"/>
    </row>
    <row r="752">
      <c r="C752" s="61"/>
      <c r="H752" s="61"/>
      <c r="I752" s="61"/>
      <c r="J752" s="61"/>
      <c r="K752" s="61"/>
    </row>
    <row r="753">
      <c r="C753" s="61"/>
      <c r="H753" s="61"/>
      <c r="I753" s="61"/>
      <c r="J753" s="61"/>
      <c r="K753" s="61"/>
    </row>
    <row r="754">
      <c r="C754" s="61"/>
      <c r="H754" s="61"/>
      <c r="I754" s="61"/>
      <c r="J754" s="61"/>
      <c r="K754" s="61"/>
    </row>
    <row r="755">
      <c r="C755" s="61"/>
      <c r="H755" s="61"/>
      <c r="I755" s="61"/>
      <c r="J755" s="61"/>
      <c r="K755" s="61"/>
    </row>
    <row r="756">
      <c r="C756" s="61"/>
      <c r="H756" s="61"/>
      <c r="I756" s="61"/>
      <c r="J756" s="61"/>
      <c r="K756" s="61"/>
    </row>
    <row r="757">
      <c r="C757" s="61"/>
      <c r="H757" s="61"/>
      <c r="I757" s="61"/>
      <c r="J757" s="61"/>
      <c r="K757" s="61"/>
    </row>
    <row r="758">
      <c r="C758" s="61"/>
      <c r="H758" s="61"/>
      <c r="I758" s="61"/>
      <c r="J758" s="61"/>
      <c r="K758" s="61"/>
    </row>
    <row r="759">
      <c r="C759" s="61"/>
      <c r="H759" s="61"/>
      <c r="I759" s="61"/>
      <c r="J759" s="61"/>
      <c r="K759" s="61"/>
    </row>
    <row r="760">
      <c r="C760" s="61"/>
      <c r="H760" s="61"/>
      <c r="I760" s="61"/>
      <c r="J760" s="61"/>
      <c r="K760" s="61"/>
    </row>
    <row r="761">
      <c r="C761" s="61"/>
      <c r="H761" s="61"/>
      <c r="I761" s="61"/>
      <c r="J761" s="61"/>
      <c r="K761" s="61"/>
    </row>
    <row r="762">
      <c r="C762" s="61"/>
      <c r="H762" s="61"/>
      <c r="I762" s="61"/>
      <c r="J762" s="61"/>
      <c r="K762" s="61"/>
    </row>
    <row r="763">
      <c r="C763" s="61"/>
      <c r="H763" s="61"/>
      <c r="I763" s="61"/>
      <c r="J763" s="61"/>
      <c r="K763" s="61"/>
    </row>
    <row r="764">
      <c r="C764" s="61"/>
      <c r="H764" s="61"/>
      <c r="I764" s="61"/>
      <c r="J764" s="61"/>
      <c r="K764" s="61"/>
    </row>
    <row r="765">
      <c r="C765" s="61"/>
      <c r="H765" s="61"/>
      <c r="I765" s="61"/>
      <c r="J765" s="61"/>
      <c r="K765" s="61"/>
    </row>
    <row r="766">
      <c r="C766" s="61"/>
      <c r="H766" s="61"/>
      <c r="I766" s="61"/>
      <c r="J766" s="61"/>
      <c r="K766" s="61"/>
    </row>
    <row r="767">
      <c r="C767" s="61"/>
      <c r="H767" s="61"/>
      <c r="I767" s="61"/>
      <c r="J767" s="61"/>
      <c r="K767" s="61"/>
    </row>
    <row r="768">
      <c r="C768" s="61"/>
      <c r="H768" s="61"/>
      <c r="I768" s="61"/>
      <c r="J768" s="61"/>
      <c r="K768" s="61"/>
    </row>
    <row r="769">
      <c r="C769" s="61"/>
      <c r="H769" s="61"/>
      <c r="I769" s="61"/>
      <c r="J769" s="61"/>
      <c r="K769" s="61"/>
    </row>
    <row r="770">
      <c r="C770" s="61"/>
      <c r="H770" s="61"/>
      <c r="I770" s="61"/>
      <c r="J770" s="61"/>
      <c r="K770" s="61"/>
    </row>
    <row r="771">
      <c r="C771" s="61"/>
      <c r="H771" s="61"/>
      <c r="I771" s="61"/>
      <c r="J771" s="61"/>
      <c r="K771" s="61"/>
    </row>
    <row r="772">
      <c r="C772" s="61"/>
      <c r="H772" s="61"/>
      <c r="I772" s="61"/>
      <c r="J772" s="61"/>
      <c r="K772" s="61"/>
    </row>
    <row r="773">
      <c r="C773" s="61"/>
      <c r="H773" s="61"/>
      <c r="I773" s="61"/>
      <c r="J773" s="61"/>
      <c r="K773" s="61"/>
    </row>
    <row r="774">
      <c r="C774" s="61"/>
      <c r="H774" s="61"/>
      <c r="I774" s="61"/>
      <c r="J774" s="61"/>
      <c r="K774" s="61"/>
    </row>
    <row r="775">
      <c r="C775" s="61"/>
      <c r="H775" s="61"/>
      <c r="I775" s="61"/>
      <c r="J775" s="61"/>
      <c r="K775" s="61"/>
    </row>
    <row r="776">
      <c r="C776" s="61"/>
      <c r="H776" s="61"/>
      <c r="I776" s="61"/>
      <c r="J776" s="61"/>
      <c r="K776" s="61"/>
    </row>
    <row r="777">
      <c r="C777" s="61"/>
      <c r="H777" s="61"/>
      <c r="I777" s="61"/>
      <c r="J777" s="61"/>
      <c r="K777" s="61"/>
    </row>
    <row r="778">
      <c r="C778" s="61"/>
      <c r="H778" s="61"/>
      <c r="I778" s="61"/>
      <c r="J778" s="61"/>
      <c r="K778" s="61"/>
    </row>
    <row r="779">
      <c r="C779" s="61"/>
      <c r="H779" s="61"/>
      <c r="I779" s="61"/>
      <c r="J779" s="61"/>
      <c r="K779" s="61"/>
    </row>
    <row r="780">
      <c r="C780" s="61"/>
      <c r="H780" s="61"/>
      <c r="I780" s="61"/>
      <c r="J780" s="61"/>
      <c r="K780" s="61"/>
    </row>
    <row r="781">
      <c r="C781" s="61"/>
      <c r="H781" s="61"/>
      <c r="I781" s="61"/>
      <c r="J781" s="61"/>
      <c r="K781" s="61"/>
    </row>
    <row r="782">
      <c r="C782" s="61"/>
      <c r="H782" s="61"/>
      <c r="I782" s="61"/>
      <c r="J782" s="61"/>
      <c r="K782" s="61"/>
    </row>
    <row r="783">
      <c r="C783" s="61"/>
      <c r="H783" s="61"/>
      <c r="I783" s="61"/>
      <c r="J783" s="61"/>
      <c r="K783" s="61"/>
    </row>
    <row r="784">
      <c r="C784" s="61"/>
      <c r="H784" s="61"/>
      <c r="I784" s="61"/>
      <c r="J784" s="61"/>
      <c r="K784" s="61"/>
    </row>
    <row r="785">
      <c r="C785" s="61"/>
      <c r="H785" s="61"/>
      <c r="I785" s="61"/>
      <c r="J785" s="61"/>
      <c r="K785" s="61"/>
    </row>
    <row r="786">
      <c r="C786" s="61"/>
      <c r="H786" s="61"/>
      <c r="I786" s="61"/>
      <c r="J786" s="61"/>
      <c r="K786" s="61"/>
    </row>
    <row r="787">
      <c r="C787" s="61"/>
      <c r="H787" s="61"/>
      <c r="I787" s="61"/>
      <c r="J787" s="61"/>
      <c r="K787" s="61"/>
    </row>
    <row r="788">
      <c r="C788" s="61"/>
      <c r="H788" s="61"/>
      <c r="I788" s="61"/>
      <c r="J788" s="61"/>
      <c r="K788" s="61"/>
    </row>
    <row r="789">
      <c r="C789" s="61"/>
      <c r="H789" s="61"/>
      <c r="I789" s="61"/>
      <c r="J789" s="61"/>
      <c r="K789" s="61"/>
    </row>
    <row r="790">
      <c r="C790" s="61"/>
      <c r="H790" s="61"/>
      <c r="I790" s="61"/>
      <c r="J790" s="61"/>
      <c r="K790" s="61"/>
    </row>
    <row r="791">
      <c r="C791" s="61"/>
      <c r="H791" s="61"/>
      <c r="I791" s="61"/>
      <c r="J791" s="61"/>
      <c r="K791" s="61"/>
    </row>
    <row r="792">
      <c r="C792" s="61"/>
      <c r="H792" s="61"/>
      <c r="I792" s="61"/>
      <c r="J792" s="61"/>
      <c r="K792" s="61"/>
    </row>
    <row r="793">
      <c r="C793" s="61"/>
      <c r="H793" s="61"/>
      <c r="I793" s="61"/>
      <c r="J793" s="61"/>
      <c r="K793" s="61"/>
    </row>
    <row r="794">
      <c r="C794" s="61"/>
      <c r="H794" s="61"/>
      <c r="I794" s="61"/>
      <c r="J794" s="61"/>
      <c r="K794" s="61"/>
    </row>
    <row r="795">
      <c r="C795" s="61"/>
      <c r="H795" s="61"/>
      <c r="I795" s="61"/>
      <c r="J795" s="61"/>
      <c r="K795" s="61"/>
    </row>
    <row r="796">
      <c r="C796" s="61"/>
      <c r="H796" s="61"/>
      <c r="I796" s="61"/>
      <c r="J796" s="61"/>
      <c r="K796" s="61"/>
    </row>
    <row r="797">
      <c r="C797" s="61"/>
      <c r="H797" s="61"/>
      <c r="I797" s="61"/>
      <c r="J797" s="61"/>
      <c r="K797" s="61"/>
    </row>
    <row r="798">
      <c r="C798" s="61"/>
      <c r="H798" s="61"/>
      <c r="I798" s="61"/>
      <c r="J798" s="61"/>
      <c r="K798" s="61"/>
    </row>
    <row r="799">
      <c r="C799" s="61"/>
      <c r="H799" s="61"/>
      <c r="I799" s="61"/>
      <c r="J799" s="61"/>
      <c r="K799" s="61"/>
    </row>
    <row r="800">
      <c r="C800" s="61"/>
      <c r="H800" s="61"/>
      <c r="I800" s="61"/>
      <c r="J800" s="61"/>
      <c r="K800" s="61"/>
    </row>
    <row r="801">
      <c r="C801" s="61"/>
      <c r="H801" s="61"/>
      <c r="I801" s="61"/>
      <c r="J801" s="61"/>
      <c r="K801" s="61"/>
    </row>
    <row r="802">
      <c r="C802" s="61"/>
      <c r="H802" s="61"/>
      <c r="I802" s="61"/>
      <c r="J802" s="61"/>
      <c r="K802" s="61"/>
    </row>
    <row r="803">
      <c r="C803" s="61"/>
      <c r="H803" s="61"/>
      <c r="I803" s="61"/>
      <c r="J803" s="61"/>
      <c r="K803" s="61"/>
    </row>
    <row r="804">
      <c r="C804" s="61"/>
      <c r="H804" s="61"/>
      <c r="I804" s="61"/>
      <c r="J804" s="61"/>
      <c r="K804" s="61"/>
    </row>
    <row r="805">
      <c r="C805" s="61"/>
      <c r="H805" s="61"/>
      <c r="I805" s="61"/>
      <c r="J805" s="61"/>
      <c r="K805" s="61"/>
    </row>
    <row r="806">
      <c r="C806" s="61"/>
      <c r="H806" s="61"/>
      <c r="I806" s="61"/>
      <c r="J806" s="61"/>
      <c r="K806" s="61"/>
    </row>
    <row r="807">
      <c r="C807" s="61"/>
      <c r="H807" s="61"/>
      <c r="I807" s="61"/>
      <c r="J807" s="61"/>
      <c r="K807" s="61"/>
    </row>
    <row r="808">
      <c r="C808" s="61"/>
      <c r="H808" s="61"/>
      <c r="I808" s="61"/>
      <c r="J808" s="61"/>
      <c r="K808" s="61"/>
    </row>
    <row r="809">
      <c r="C809" s="61"/>
      <c r="H809" s="61"/>
      <c r="I809" s="61"/>
      <c r="J809" s="61"/>
      <c r="K809" s="61"/>
    </row>
    <row r="810">
      <c r="C810" s="61"/>
      <c r="H810" s="61"/>
      <c r="I810" s="61"/>
      <c r="J810" s="61"/>
      <c r="K810" s="61"/>
    </row>
    <row r="811">
      <c r="C811" s="61"/>
      <c r="H811" s="61"/>
      <c r="I811" s="61"/>
      <c r="J811" s="61"/>
      <c r="K811" s="61"/>
    </row>
    <row r="812">
      <c r="C812" s="61"/>
      <c r="H812" s="61"/>
      <c r="I812" s="61"/>
      <c r="J812" s="61"/>
      <c r="K812" s="61"/>
    </row>
    <row r="813">
      <c r="C813" s="61"/>
      <c r="H813" s="61"/>
      <c r="I813" s="61"/>
      <c r="J813" s="61"/>
      <c r="K813" s="61"/>
    </row>
    <row r="814">
      <c r="C814" s="61"/>
      <c r="H814" s="61"/>
      <c r="I814" s="61"/>
      <c r="J814" s="61"/>
      <c r="K814" s="61"/>
    </row>
    <row r="815">
      <c r="C815" s="61"/>
      <c r="H815" s="61"/>
      <c r="I815" s="61"/>
      <c r="J815" s="61"/>
      <c r="K815" s="61"/>
    </row>
    <row r="816">
      <c r="C816" s="61"/>
      <c r="H816" s="61"/>
      <c r="I816" s="61"/>
      <c r="J816" s="61"/>
      <c r="K816" s="61"/>
    </row>
    <row r="817">
      <c r="C817" s="61"/>
      <c r="H817" s="61"/>
      <c r="I817" s="61"/>
      <c r="J817" s="61"/>
      <c r="K817" s="61"/>
    </row>
    <row r="818">
      <c r="C818" s="61"/>
      <c r="H818" s="61"/>
      <c r="I818" s="61"/>
      <c r="J818" s="61"/>
      <c r="K818" s="61"/>
    </row>
    <row r="819">
      <c r="C819" s="61"/>
      <c r="H819" s="61"/>
      <c r="I819" s="61"/>
      <c r="J819" s="61"/>
      <c r="K819" s="61"/>
    </row>
    <row r="820">
      <c r="C820" s="61"/>
      <c r="H820" s="61"/>
      <c r="I820" s="61"/>
      <c r="J820" s="61"/>
      <c r="K820" s="61"/>
    </row>
    <row r="821">
      <c r="C821" s="61"/>
      <c r="H821" s="61"/>
      <c r="I821" s="61"/>
      <c r="J821" s="61"/>
      <c r="K821" s="61"/>
    </row>
    <row r="822">
      <c r="C822" s="61"/>
      <c r="H822" s="61"/>
      <c r="I822" s="61"/>
      <c r="J822" s="61"/>
      <c r="K822" s="61"/>
    </row>
    <row r="823">
      <c r="C823" s="61"/>
      <c r="H823" s="61"/>
      <c r="I823" s="61"/>
      <c r="J823" s="61"/>
      <c r="K823" s="61"/>
    </row>
    <row r="824">
      <c r="C824" s="61"/>
      <c r="H824" s="61"/>
      <c r="I824" s="61"/>
      <c r="J824" s="61"/>
      <c r="K824" s="61"/>
    </row>
    <row r="825">
      <c r="C825" s="61"/>
      <c r="H825" s="61"/>
      <c r="I825" s="61"/>
      <c r="J825" s="61"/>
      <c r="K825" s="61"/>
    </row>
    <row r="826">
      <c r="C826" s="61"/>
      <c r="H826" s="61"/>
      <c r="I826" s="61"/>
      <c r="J826" s="61"/>
      <c r="K826" s="61"/>
    </row>
    <row r="827">
      <c r="C827" s="61"/>
      <c r="H827" s="61"/>
      <c r="I827" s="61"/>
      <c r="J827" s="61"/>
      <c r="K827" s="61"/>
    </row>
    <row r="828">
      <c r="C828" s="61"/>
      <c r="H828" s="61"/>
      <c r="I828" s="61"/>
      <c r="J828" s="61"/>
      <c r="K828" s="61"/>
    </row>
    <row r="829">
      <c r="C829" s="61"/>
      <c r="H829" s="61"/>
      <c r="I829" s="61"/>
      <c r="J829" s="61"/>
      <c r="K829" s="61"/>
    </row>
    <row r="830">
      <c r="C830" s="61"/>
      <c r="H830" s="61"/>
      <c r="I830" s="61"/>
      <c r="J830" s="61"/>
      <c r="K830" s="61"/>
    </row>
    <row r="831">
      <c r="C831" s="61"/>
      <c r="H831" s="61"/>
      <c r="I831" s="61"/>
      <c r="J831" s="61"/>
      <c r="K831" s="61"/>
    </row>
    <row r="832">
      <c r="C832" s="61"/>
      <c r="H832" s="61"/>
      <c r="I832" s="61"/>
      <c r="J832" s="61"/>
      <c r="K832" s="61"/>
    </row>
    <row r="833">
      <c r="C833" s="61"/>
      <c r="H833" s="61"/>
      <c r="I833" s="61"/>
      <c r="J833" s="61"/>
      <c r="K833" s="61"/>
    </row>
    <row r="834">
      <c r="C834" s="61"/>
      <c r="H834" s="61"/>
      <c r="I834" s="61"/>
      <c r="J834" s="61"/>
      <c r="K834" s="61"/>
    </row>
    <row r="835">
      <c r="C835" s="61"/>
      <c r="H835" s="61"/>
      <c r="I835" s="61"/>
      <c r="J835" s="61"/>
      <c r="K835" s="61"/>
    </row>
    <row r="836">
      <c r="C836" s="61"/>
      <c r="H836" s="61"/>
      <c r="I836" s="61"/>
      <c r="J836" s="61"/>
      <c r="K836" s="61"/>
    </row>
    <row r="837">
      <c r="C837" s="61"/>
      <c r="H837" s="61"/>
      <c r="I837" s="61"/>
      <c r="J837" s="61"/>
      <c r="K837" s="61"/>
    </row>
    <row r="838">
      <c r="C838" s="61"/>
      <c r="H838" s="61"/>
      <c r="I838" s="61"/>
      <c r="J838" s="61"/>
      <c r="K838" s="61"/>
    </row>
    <row r="839">
      <c r="C839" s="61"/>
      <c r="H839" s="61"/>
      <c r="I839" s="61"/>
      <c r="J839" s="61"/>
      <c r="K839" s="61"/>
    </row>
    <row r="840">
      <c r="C840" s="61"/>
      <c r="H840" s="61"/>
      <c r="I840" s="61"/>
      <c r="J840" s="61"/>
      <c r="K840" s="61"/>
    </row>
    <row r="841">
      <c r="C841" s="61"/>
      <c r="H841" s="61"/>
      <c r="I841" s="61"/>
      <c r="J841" s="61"/>
      <c r="K841" s="61"/>
    </row>
    <row r="842">
      <c r="C842" s="61"/>
      <c r="H842" s="61"/>
      <c r="I842" s="61"/>
      <c r="J842" s="61"/>
      <c r="K842" s="61"/>
    </row>
    <row r="843">
      <c r="C843" s="61"/>
      <c r="H843" s="61"/>
      <c r="I843" s="61"/>
      <c r="J843" s="61"/>
      <c r="K843" s="61"/>
    </row>
    <row r="844">
      <c r="C844" s="61"/>
      <c r="H844" s="61"/>
      <c r="I844" s="61"/>
      <c r="J844" s="61"/>
      <c r="K844" s="61"/>
    </row>
    <row r="845">
      <c r="C845" s="61"/>
      <c r="H845" s="61"/>
      <c r="I845" s="61"/>
      <c r="J845" s="61"/>
      <c r="K845" s="61"/>
    </row>
    <row r="846">
      <c r="C846" s="61"/>
      <c r="H846" s="61"/>
      <c r="I846" s="61"/>
      <c r="J846" s="61"/>
      <c r="K846" s="61"/>
    </row>
    <row r="847">
      <c r="C847" s="61"/>
      <c r="H847" s="61"/>
      <c r="I847" s="61"/>
      <c r="J847" s="61"/>
      <c r="K847" s="61"/>
    </row>
    <row r="848">
      <c r="C848" s="61"/>
      <c r="H848" s="61"/>
      <c r="I848" s="61"/>
      <c r="J848" s="61"/>
      <c r="K848" s="61"/>
    </row>
    <row r="849">
      <c r="C849" s="61"/>
      <c r="H849" s="61"/>
      <c r="I849" s="61"/>
      <c r="J849" s="61"/>
      <c r="K849" s="61"/>
    </row>
    <row r="850">
      <c r="C850" s="61"/>
      <c r="H850" s="61"/>
      <c r="I850" s="61"/>
      <c r="J850" s="61"/>
      <c r="K850" s="61"/>
    </row>
    <row r="851">
      <c r="C851" s="61"/>
      <c r="H851" s="61"/>
      <c r="I851" s="61"/>
      <c r="J851" s="61"/>
      <c r="K851" s="61"/>
    </row>
    <row r="852">
      <c r="C852" s="61"/>
      <c r="H852" s="61"/>
      <c r="I852" s="61"/>
      <c r="J852" s="61"/>
      <c r="K852" s="61"/>
    </row>
    <row r="853">
      <c r="C853" s="61"/>
      <c r="H853" s="61"/>
      <c r="I853" s="61"/>
      <c r="J853" s="61"/>
      <c r="K853" s="61"/>
    </row>
    <row r="854">
      <c r="C854" s="61"/>
      <c r="H854" s="61"/>
      <c r="I854" s="61"/>
      <c r="J854" s="61"/>
      <c r="K854" s="61"/>
    </row>
    <row r="855">
      <c r="C855" s="61"/>
      <c r="H855" s="61"/>
      <c r="I855" s="61"/>
      <c r="J855" s="61"/>
      <c r="K855" s="61"/>
    </row>
    <row r="856">
      <c r="C856" s="61"/>
      <c r="H856" s="61"/>
      <c r="I856" s="61"/>
      <c r="J856" s="61"/>
      <c r="K856" s="61"/>
    </row>
    <row r="857">
      <c r="C857" s="61"/>
      <c r="H857" s="61"/>
      <c r="I857" s="61"/>
      <c r="J857" s="61"/>
      <c r="K857" s="61"/>
    </row>
    <row r="858">
      <c r="C858" s="61"/>
      <c r="H858" s="61"/>
      <c r="I858" s="61"/>
      <c r="J858" s="61"/>
      <c r="K858" s="61"/>
    </row>
    <row r="859">
      <c r="C859" s="61"/>
      <c r="H859" s="61"/>
      <c r="I859" s="61"/>
      <c r="J859" s="61"/>
      <c r="K859" s="61"/>
    </row>
    <row r="860">
      <c r="C860" s="61"/>
      <c r="H860" s="61"/>
      <c r="I860" s="61"/>
      <c r="J860" s="61"/>
      <c r="K860" s="61"/>
    </row>
    <row r="861">
      <c r="C861" s="61"/>
      <c r="H861" s="61"/>
      <c r="I861" s="61"/>
      <c r="J861" s="61"/>
      <c r="K861" s="61"/>
    </row>
    <row r="862">
      <c r="C862" s="61"/>
      <c r="H862" s="61"/>
      <c r="I862" s="61"/>
      <c r="J862" s="61"/>
      <c r="K862" s="61"/>
    </row>
    <row r="863">
      <c r="C863" s="61"/>
      <c r="H863" s="61"/>
      <c r="I863" s="61"/>
      <c r="J863" s="61"/>
      <c r="K863" s="61"/>
    </row>
    <row r="864">
      <c r="C864" s="61"/>
      <c r="H864" s="61"/>
      <c r="I864" s="61"/>
      <c r="J864" s="61"/>
      <c r="K864" s="61"/>
    </row>
    <row r="865">
      <c r="C865" s="61"/>
      <c r="H865" s="61"/>
      <c r="I865" s="61"/>
      <c r="J865" s="61"/>
      <c r="K865" s="61"/>
    </row>
    <row r="866">
      <c r="C866" s="61"/>
      <c r="H866" s="61"/>
      <c r="I866" s="61"/>
      <c r="J866" s="61"/>
      <c r="K866" s="61"/>
    </row>
    <row r="867">
      <c r="C867" s="61"/>
      <c r="H867" s="61"/>
      <c r="I867" s="61"/>
      <c r="J867" s="61"/>
      <c r="K867" s="61"/>
    </row>
    <row r="868">
      <c r="C868" s="61"/>
      <c r="H868" s="61"/>
      <c r="I868" s="61"/>
      <c r="J868" s="61"/>
      <c r="K868" s="61"/>
    </row>
    <row r="869">
      <c r="C869" s="61"/>
      <c r="H869" s="61"/>
      <c r="I869" s="61"/>
      <c r="J869" s="61"/>
      <c r="K869" s="61"/>
    </row>
    <row r="870">
      <c r="C870" s="61"/>
      <c r="H870" s="61"/>
      <c r="I870" s="61"/>
      <c r="J870" s="61"/>
      <c r="K870" s="61"/>
    </row>
    <row r="871">
      <c r="C871" s="61"/>
      <c r="H871" s="61"/>
      <c r="I871" s="61"/>
      <c r="J871" s="61"/>
      <c r="K871" s="61"/>
    </row>
    <row r="872">
      <c r="C872" s="61"/>
      <c r="H872" s="61"/>
      <c r="I872" s="61"/>
      <c r="J872" s="61"/>
      <c r="K872" s="61"/>
    </row>
    <row r="873">
      <c r="C873" s="61"/>
      <c r="H873" s="61"/>
      <c r="I873" s="61"/>
      <c r="J873" s="61"/>
      <c r="K873" s="61"/>
    </row>
    <row r="874">
      <c r="C874" s="61"/>
      <c r="H874" s="61"/>
      <c r="I874" s="61"/>
      <c r="J874" s="61"/>
      <c r="K874" s="61"/>
    </row>
    <row r="875">
      <c r="C875" s="61"/>
      <c r="H875" s="61"/>
      <c r="I875" s="61"/>
      <c r="J875" s="61"/>
      <c r="K875" s="61"/>
    </row>
    <row r="876">
      <c r="C876" s="61"/>
      <c r="H876" s="61"/>
      <c r="I876" s="61"/>
      <c r="J876" s="61"/>
      <c r="K876" s="61"/>
    </row>
    <row r="877">
      <c r="C877" s="61"/>
      <c r="H877" s="61"/>
      <c r="I877" s="61"/>
      <c r="J877" s="61"/>
      <c r="K877" s="61"/>
    </row>
    <row r="878">
      <c r="C878" s="61"/>
      <c r="H878" s="61"/>
      <c r="I878" s="61"/>
      <c r="J878" s="61"/>
      <c r="K878" s="61"/>
    </row>
    <row r="879">
      <c r="C879" s="61"/>
      <c r="H879" s="61"/>
      <c r="I879" s="61"/>
      <c r="J879" s="61"/>
      <c r="K879" s="61"/>
    </row>
    <row r="880">
      <c r="C880" s="61"/>
      <c r="H880" s="61"/>
      <c r="I880" s="61"/>
      <c r="J880" s="61"/>
      <c r="K880" s="61"/>
    </row>
    <row r="881">
      <c r="C881" s="61"/>
      <c r="H881" s="61"/>
      <c r="I881" s="61"/>
      <c r="J881" s="61"/>
      <c r="K881" s="61"/>
    </row>
    <row r="882">
      <c r="C882" s="61"/>
      <c r="H882" s="61"/>
      <c r="I882" s="61"/>
      <c r="J882" s="61"/>
      <c r="K882" s="61"/>
    </row>
    <row r="883">
      <c r="C883" s="61"/>
      <c r="H883" s="61"/>
      <c r="I883" s="61"/>
      <c r="J883" s="61"/>
      <c r="K883" s="61"/>
    </row>
    <row r="884">
      <c r="C884" s="61"/>
      <c r="H884" s="61"/>
      <c r="I884" s="61"/>
      <c r="J884" s="61"/>
      <c r="K884" s="61"/>
    </row>
    <row r="885">
      <c r="C885" s="61"/>
      <c r="H885" s="61"/>
      <c r="I885" s="61"/>
      <c r="J885" s="61"/>
      <c r="K885" s="61"/>
    </row>
    <row r="886">
      <c r="C886" s="61"/>
      <c r="H886" s="61"/>
      <c r="I886" s="61"/>
      <c r="J886" s="61"/>
      <c r="K886" s="61"/>
    </row>
    <row r="887">
      <c r="C887" s="61"/>
      <c r="H887" s="61"/>
      <c r="I887" s="61"/>
      <c r="J887" s="61"/>
      <c r="K887" s="61"/>
    </row>
    <row r="888">
      <c r="C888" s="61"/>
      <c r="H888" s="61"/>
      <c r="I888" s="61"/>
      <c r="J888" s="61"/>
      <c r="K888" s="61"/>
    </row>
    <row r="889">
      <c r="C889" s="61"/>
      <c r="H889" s="61"/>
      <c r="I889" s="61"/>
      <c r="J889" s="61"/>
      <c r="K889" s="61"/>
    </row>
    <row r="890">
      <c r="C890" s="61"/>
      <c r="H890" s="61"/>
      <c r="I890" s="61"/>
      <c r="J890" s="61"/>
      <c r="K890" s="61"/>
    </row>
    <row r="891">
      <c r="C891" s="61"/>
      <c r="H891" s="61"/>
      <c r="I891" s="61"/>
      <c r="J891" s="61"/>
      <c r="K891" s="61"/>
    </row>
    <row r="892">
      <c r="C892" s="61"/>
      <c r="H892" s="61"/>
      <c r="I892" s="61"/>
      <c r="J892" s="61"/>
      <c r="K892" s="61"/>
    </row>
    <row r="893">
      <c r="C893" s="61"/>
      <c r="H893" s="61"/>
      <c r="I893" s="61"/>
      <c r="J893" s="61"/>
      <c r="K893" s="61"/>
    </row>
    <row r="894">
      <c r="C894" s="61"/>
      <c r="H894" s="61"/>
      <c r="I894" s="61"/>
      <c r="J894" s="61"/>
      <c r="K894" s="61"/>
    </row>
    <row r="895">
      <c r="C895" s="61"/>
      <c r="H895" s="61"/>
      <c r="I895" s="61"/>
      <c r="J895" s="61"/>
      <c r="K895" s="61"/>
    </row>
    <row r="896">
      <c r="C896" s="61"/>
      <c r="H896" s="61"/>
      <c r="I896" s="61"/>
      <c r="J896" s="61"/>
      <c r="K896" s="61"/>
    </row>
    <row r="897">
      <c r="C897" s="61"/>
      <c r="H897" s="61"/>
      <c r="I897" s="61"/>
      <c r="J897" s="61"/>
      <c r="K897" s="61"/>
    </row>
    <row r="898">
      <c r="C898" s="61"/>
      <c r="H898" s="61"/>
      <c r="I898" s="61"/>
      <c r="J898" s="61"/>
      <c r="K898" s="61"/>
    </row>
    <row r="899">
      <c r="C899" s="61"/>
      <c r="H899" s="61"/>
      <c r="I899" s="61"/>
      <c r="J899" s="61"/>
      <c r="K899" s="61"/>
    </row>
    <row r="900">
      <c r="C900" s="61"/>
      <c r="H900" s="61"/>
      <c r="I900" s="61"/>
      <c r="J900" s="61"/>
      <c r="K900" s="61"/>
    </row>
    <row r="901">
      <c r="C901" s="61"/>
      <c r="H901" s="61"/>
      <c r="I901" s="61"/>
      <c r="J901" s="61"/>
      <c r="K901" s="61"/>
    </row>
    <row r="902">
      <c r="C902" s="61"/>
      <c r="H902" s="61"/>
      <c r="I902" s="61"/>
      <c r="J902" s="61"/>
      <c r="K902" s="61"/>
    </row>
    <row r="903">
      <c r="C903" s="61"/>
      <c r="H903" s="61"/>
      <c r="I903" s="61"/>
      <c r="J903" s="61"/>
      <c r="K903" s="61"/>
    </row>
    <row r="904">
      <c r="C904" s="61"/>
      <c r="H904" s="61"/>
      <c r="I904" s="61"/>
      <c r="J904" s="61"/>
      <c r="K904" s="61"/>
    </row>
    <row r="905">
      <c r="C905" s="61"/>
      <c r="H905" s="61"/>
      <c r="I905" s="61"/>
      <c r="J905" s="61"/>
      <c r="K905" s="61"/>
    </row>
    <row r="906">
      <c r="C906" s="61"/>
      <c r="H906" s="61"/>
      <c r="I906" s="61"/>
      <c r="J906" s="61"/>
      <c r="K906" s="61"/>
    </row>
    <row r="907">
      <c r="C907" s="61"/>
      <c r="H907" s="61"/>
      <c r="I907" s="61"/>
      <c r="J907" s="61"/>
      <c r="K907" s="61"/>
    </row>
    <row r="908">
      <c r="C908" s="61"/>
      <c r="H908" s="61"/>
      <c r="I908" s="61"/>
      <c r="J908" s="61"/>
      <c r="K908" s="61"/>
    </row>
    <row r="909">
      <c r="C909" s="61"/>
      <c r="H909" s="61"/>
      <c r="I909" s="61"/>
      <c r="J909" s="61"/>
      <c r="K909" s="61"/>
    </row>
    <row r="910">
      <c r="C910" s="61"/>
      <c r="H910" s="61"/>
      <c r="I910" s="61"/>
      <c r="J910" s="61"/>
      <c r="K910" s="61"/>
    </row>
    <row r="911">
      <c r="C911" s="61"/>
      <c r="H911" s="61"/>
      <c r="I911" s="61"/>
      <c r="J911" s="61"/>
      <c r="K911" s="61"/>
    </row>
    <row r="912">
      <c r="C912" s="61"/>
      <c r="H912" s="61"/>
      <c r="I912" s="61"/>
      <c r="J912" s="61"/>
      <c r="K912" s="61"/>
    </row>
    <row r="913">
      <c r="C913" s="61"/>
      <c r="H913" s="61"/>
      <c r="I913" s="61"/>
      <c r="J913" s="61"/>
      <c r="K913" s="61"/>
    </row>
    <row r="914">
      <c r="C914" s="61"/>
      <c r="H914" s="61"/>
      <c r="I914" s="61"/>
      <c r="J914" s="61"/>
      <c r="K914" s="61"/>
    </row>
    <row r="915">
      <c r="C915" s="61"/>
      <c r="H915" s="61"/>
      <c r="I915" s="61"/>
      <c r="J915" s="61"/>
      <c r="K915" s="61"/>
    </row>
    <row r="916">
      <c r="C916" s="61"/>
      <c r="H916" s="61"/>
      <c r="I916" s="61"/>
      <c r="J916" s="61"/>
      <c r="K916" s="61"/>
    </row>
    <row r="917">
      <c r="C917" s="61"/>
      <c r="H917" s="61"/>
      <c r="I917" s="61"/>
      <c r="J917" s="61"/>
      <c r="K917" s="61"/>
    </row>
    <row r="918">
      <c r="C918" s="61"/>
      <c r="H918" s="61"/>
      <c r="I918" s="61"/>
      <c r="J918" s="61"/>
      <c r="K918" s="61"/>
    </row>
    <row r="919">
      <c r="C919" s="61"/>
      <c r="H919" s="61"/>
      <c r="I919" s="61"/>
      <c r="J919" s="61"/>
      <c r="K919" s="61"/>
    </row>
    <row r="920">
      <c r="C920" s="61"/>
      <c r="H920" s="61"/>
      <c r="I920" s="61"/>
      <c r="J920" s="61"/>
      <c r="K920" s="61"/>
    </row>
    <row r="921">
      <c r="C921" s="61"/>
      <c r="H921" s="61"/>
      <c r="I921" s="61"/>
      <c r="J921" s="61"/>
      <c r="K921" s="61"/>
    </row>
    <row r="922">
      <c r="C922" s="61"/>
      <c r="H922" s="61"/>
      <c r="I922" s="61"/>
      <c r="J922" s="61"/>
      <c r="K922" s="61"/>
    </row>
    <row r="923">
      <c r="C923" s="61"/>
      <c r="H923" s="61"/>
      <c r="I923" s="61"/>
      <c r="J923" s="61"/>
      <c r="K923" s="61"/>
    </row>
    <row r="924">
      <c r="C924" s="61"/>
      <c r="H924" s="61"/>
      <c r="I924" s="61"/>
      <c r="J924" s="61"/>
      <c r="K924" s="61"/>
    </row>
    <row r="925">
      <c r="C925" s="61"/>
      <c r="H925" s="61"/>
      <c r="I925" s="61"/>
      <c r="J925" s="61"/>
      <c r="K925" s="61"/>
    </row>
    <row r="926">
      <c r="C926" s="61"/>
      <c r="H926" s="61"/>
      <c r="I926" s="61"/>
      <c r="J926" s="61"/>
      <c r="K926" s="61"/>
    </row>
    <row r="927">
      <c r="C927" s="61"/>
      <c r="H927" s="61"/>
      <c r="I927" s="61"/>
      <c r="J927" s="61"/>
      <c r="K927" s="61"/>
    </row>
    <row r="928">
      <c r="C928" s="61"/>
      <c r="H928" s="61"/>
      <c r="I928" s="61"/>
      <c r="J928" s="61"/>
      <c r="K928" s="61"/>
    </row>
    <row r="929">
      <c r="C929" s="61"/>
      <c r="H929" s="61"/>
      <c r="I929" s="61"/>
      <c r="J929" s="61"/>
      <c r="K929" s="61"/>
    </row>
    <row r="930">
      <c r="C930" s="61"/>
      <c r="H930" s="61"/>
      <c r="I930" s="61"/>
      <c r="J930" s="61"/>
      <c r="K930" s="61"/>
    </row>
    <row r="931">
      <c r="C931" s="61"/>
      <c r="H931" s="61"/>
      <c r="I931" s="61"/>
      <c r="J931" s="61"/>
      <c r="K931" s="61"/>
    </row>
    <row r="932">
      <c r="C932" s="61"/>
      <c r="H932" s="61"/>
      <c r="I932" s="61"/>
      <c r="J932" s="61"/>
      <c r="K932" s="61"/>
    </row>
    <row r="933">
      <c r="C933" s="61"/>
      <c r="H933" s="61"/>
      <c r="I933" s="61"/>
      <c r="J933" s="61"/>
      <c r="K933" s="61"/>
    </row>
    <row r="934">
      <c r="C934" s="61"/>
      <c r="H934" s="61"/>
      <c r="I934" s="61"/>
      <c r="J934" s="61"/>
      <c r="K934" s="61"/>
    </row>
    <row r="935">
      <c r="C935" s="61"/>
      <c r="H935" s="61"/>
      <c r="I935" s="61"/>
      <c r="J935" s="61"/>
      <c r="K935" s="61"/>
    </row>
    <row r="936">
      <c r="C936" s="61"/>
      <c r="H936" s="61"/>
      <c r="I936" s="61"/>
      <c r="J936" s="61"/>
      <c r="K936" s="61"/>
    </row>
    <row r="937">
      <c r="C937" s="61"/>
      <c r="H937" s="61"/>
      <c r="I937" s="61"/>
      <c r="J937" s="61"/>
      <c r="K937" s="61"/>
    </row>
    <row r="938">
      <c r="C938" s="61"/>
      <c r="H938" s="61"/>
      <c r="I938" s="61"/>
      <c r="J938" s="61"/>
      <c r="K938" s="61"/>
    </row>
    <row r="939">
      <c r="C939" s="61"/>
      <c r="H939" s="61"/>
      <c r="I939" s="61"/>
      <c r="J939" s="61"/>
      <c r="K939" s="61"/>
    </row>
    <row r="940">
      <c r="C940" s="61"/>
      <c r="H940" s="61"/>
      <c r="I940" s="61"/>
      <c r="J940" s="61"/>
      <c r="K940" s="61"/>
    </row>
    <row r="941">
      <c r="C941" s="61"/>
      <c r="H941" s="61"/>
      <c r="I941" s="61"/>
      <c r="J941" s="61"/>
      <c r="K941" s="61"/>
    </row>
    <row r="942">
      <c r="C942" s="61"/>
      <c r="H942" s="61"/>
      <c r="I942" s="61"/>
      <c r="J942" s="61"/>
      <c r="K942" s="61"/>
    </row>
    <row r="943">
      <c r="C943" s="61"/>
      <c r="H943" s="61"/>
      <c r="I943" s="61"/>
      <c r="J943" s="61"/>
      <c r="K943" s="61"/>
    </row>
    <row r="944">
      <c r="C944" s="61"/>
      <c r="H944" s="61"/>
      <c r="I944" s="61"/>
      <c r="J944" s="61"/>
      <c r="K944" s="61"/>
    </row>
    <row r="945">
      <c r="C945" s="61"/>
      <c r="H945" s="61"/>
      <c r="I945" s="61"/>
      <c r="J945" s="61"/>
      <c r="K945" s="61"/>
    </row>
    <row r="946">
      <c r="C946" s="61"/>
      <c r="H946" s="61"/>
      <c r="I946" s="61"/>
      <c r="J946" s="61"/>
      <c r="K946" s="61"/>
    </row>
    <row r="947">
      <c r="C947" s="61"/>
      <c r="H947" s="61"/>
      <c r="I947" s="61"/>
      <c r="J947" s="61"/>
      <c r="K947" s="61"/>
    </row>
    <row r="948">
      <c r="C948" s="61"/>
      <c r="H948" s="61"/>
      <c r="I948" s="61"/>
      <c r="J948" s="61"/>
      <c r="K948" s="61"/>
    </row>
    <row r="949">
      <c r="C949" s="61"/>
      <c r="H949" s="61"/>
      <c r="I949" s="61"/>
      <c r="J949" s="61"/>
      <c r="K949" s="61"/>
    </row>
    <row r="950">
      <c r="C950" s="61"/>
      <c r="H950" s="61"/>
      <c r="I950" s="61"/>
      <c r="J950" s="61"/>
      <c r="K950" s="61"/>
    </row>
    <row r="951">
      <c r="C951" s="61"/>
      <c r="H951" s="61"/>
      <c r="I951" s="61"/>
      <c r="J951" s="61"/>
      <c r="K951" s="61"/>
    </row>
    <row r="952">
      <c r="C952" s="61"/>
      <c r="H952" s="61"/>
      <c r="I952" s="61"/>
      <c r="J952" s="61"/>
      <c r="K952" s="61"/>
    </row>
    <row r="953">
      <c r="C953" s="61"/>
      <c r="H953" s="61"/>
      <c r="I953" s="61"/>
      <c r="J953" s="61"/>
      <c r="K953" s="61"/>
    </row>
    <row r="954">
      <c r="C954" s="61"/>
      <c r="H954" s="61"/>
      <c r="I954" s="61"/>
      <c r="J954" s="61"/>
      <c r="K954" s="61"/>
    </row>
    <row r="955">
      <c r="C955" s="61"/>
      <c r="H955" s="61"/>
      <c r="I955" s="61"/>
      <c r="J955" s="61"/>
      <c r="K955" s="61"/>
    </row>
    <row r="956">
      <c r="C956" s="61"/>
      <c r="H956" s="61"/>
      <c r="I956" s="61"/>
      <c r="J956" s="61"/>
      <c r="K956" s="61"/>
    </row>
    <row r="957">
      <c r="C957" s="61"/>
      <c r="H957" s="61"/>
      <c r="I957" s="61"/>
      <c r="J957" s="61"/>
      <c r="K957" s="61"/>
    </row>
    <row r="958">
      <c r="C958" s="61"/>
      <c r="H958" s="61"/>
      <c r="I958" s="61"/>
      <c r="J958" s="61"/>
      <c r="K958" s="61"/>
    </row>
    <row r="959">
      <c r="C959" s="61"/>
      <c r="H959" s="61"/>
      <c r="I959" s="61"/>
      <c r="J959" s="61"/>
      <c r="K959" s="61"/>
    </row>
    <row r="960">
      <c r="C960" s="61"/>
      <c r="H960" s="61"/>
      <c r="I960" s="61"/>
      <c r="J960" s="61"/>
      <c r="K960" s="61"/>
    </row>
    <row r="961">
      <c r="C961" s="61"/>
      <c r="H961" s="61"/>
      <c r="I961" s="61"/>
      <c r="J961" s="61"/>
      <c r="K961" s="61"/>
    </row>
    <row r="962">
      <c r="C962" s="61"/>
      <c r="H962" s="61"/>
      <c r="I962" s="61"/>
      <c r="J962" s="61"/>
      <c r="K962" s="61"/>
    </row>
    <row r="963">
      <c r="C963" s="61"/>
      <c r="H963" s="61"/>
      <c r="I963" s="61"/>
      <c r="J963" s="61"/>
      <c r="K963" s="61"/>
    </row>
    <row r="964">
      <c r="C964" s="61"/>
      <c r="H964" s="61"/>
      <c r="I964" s="61"/>
      <c r="J964" s="61"/>
      <c r="K964" s="61"/>
    </row>
    <row r="965">
      <c r="C965" s="61"/>
      <c r="H965" s="61"/>
      <c r="I965" s="61"/>
      <c r="J965" s="61"/>
      <c r="K965" s="61"/>
    </row>
    <row r="966">
      <c r="C966" s="61"/>
      <c r="H966" s="61"/>
      <c r="I966" s="61"/>
      <c r="J966" s="61"/>
      <c r="K966" s="61"/>
    </row>
    <row r="967">
      <c r="C967" s="61"/>
      <c r="H967" s="61"/>
      <c r="I967" s="61"/>
      <c r="J967" s="61"/>
      <c r="K967" s="61"/>
    </row>
    <row r="968">
      <c r="C968" s="61"/>
      <c r="H968" s="61"/>
      <c r="I968" s="61"/>
      <c r="J968" s="61"/>
      <c r="K968" s="61"/>
    </row>
    <row r="969">
      <c r="C969" s="61"/>
      <c r="H969" s="61"/>
      <c r="I969" s="61"/>
      <c r="J969" s="61"/>
      <c r="K969" s="61"/>
    </row>
    <row r="970">
      <c r="C970" s="61"/>
      <c r="H970" s="61"/>
      <c r="I970" s="61"/>
      <c r="J970" s="61"/>
      <c r="K970" s="61"/>
    </row>
    <row r="971">
      <c r="C971" s="61"/>
      <c r="H971" s="61"/>
      <c r="I971" s="61"/>
      <c r="J971" s="61"/>
      <c r="K971" s="61"/>
    </row>
    <row r="972">
      <c r="C972" s="61"/>
      <c r="H972" s="61"/>
      <c r="I972" s="61"/>
      <c r="J972" s="61"/>
      <c r="K972" s="61"/>
    </row>
    <row r="973">
      <c r="C973" s="61"/>
      <c r="H973" s="61"/>
      <c r="I973" s="61"/>
      <c r="J973" s="61"/>
      <c r="K973" s="61"/>
    </row>
    <row r="974">
      <c r="C974" s="61"/>
      <c r="H974" s="61"/>
      <c r="I974" s="61"/>
      <c r="J974" s="61"/>
      <c r="K974" s="61"/>
    </row>
    <row r="975">
      <c r="C975" s="61"/>
      <c r="H975" s="61"/>
      <c r="I975" s="61"/>
      <c r="J975" s="61"/>
      <c r="K975" s="61"/>
    </row>
    <row r="976">
      <c r="C976" s="61"/>
      <c r="H976" s="61"/>
      <c r="I976" s="61"/>
      <c r="J976" s="61"/>
      <c r="K976" s="61"/>
    </row>
    <row r="977">
      <c r="C977" s="61"/>
      <c r="H977" s="61"/>
      <c r="I977" s="61"/>
      <c r="J977" s="61"/>
      <c r="K977" s="61"/>
    </row>
    <row r="978">
      <c r="C978" s="61"/>
      <c r="H978" s="61"/>
      <c r="I978" s="61"/>
      <c r="J978" s="61"/>
      <c r="K978" s="61"/>
    </row>
    <row r="979">
      <c r="C979" s="61"/>
      <c r="H979" s="61"/>
      <c r="I979" s="61"/>
      <c r="J979" s="61"/>
      <c r="K979" s="61"/>
    </row>
    <row r="980">
      <c r="C980" s="61"/>
      <c r="H980" s="61"/>
      <c r="I980" s="61"/>
      <c r="J980" s="61"/>
      <c r="K980" s="61"/>
    </row>
    <row r="981">
      <c r="C981" s="61"/>
      <c r="H981" s="61"/>
      <c r="I981" s="61"/>
      <c r="J981" s="61"/>
      <c r="K981" s="61"/>
    </row>
    <row r="982">
      <c r="C982" s="61"/>
      <c r="H982" s="61"/>
      <c r="I982" s="61"/>
      <c r="J982" s="61"/>
      <c r="K982" s="61"/>
    </row>
    <row r="983">
      <c r="C983" s="61"/>
      <c r="H983" s="61"/>
      <c r="I983" s="61"/>
      <c r="J983" s="61"/>
      <c r="K983" s="61"/>
    </row>
    <row r="984">
      <c r="C984" s="61"/>
      <c r="H984" s="61"/>
      <c r="I984" s="61"/>
      <c r="J984" s="61"/>
      <c r="K984" s="61"/>
    </row>
    <row r="985">
      <c r="C985" s="61"/>
      <c r="H985" s="61"/>
      <c r="I985" s="61"/>
      <c r="J985" s="61"/>
      <c r="K985" s="61"/>
    </row>
    <row r="986">
      <c r="C986" s="61"/>
      <c r="H986" s="61"/>
      <c r="I986" s="61"/>
      <c r="J986" s="61"/>
      <c r="K986" s="61"/>
    </row>
    <row r="987">
      <c r="C987" s="61"/>
      <c r="H987" s="61"/>
      <c r="I987" s="61"/>
      <c r="J987" s="61"/>
      <c r="K987" s="61"/>
    </row>
    <row r="988">
      <c r="C988" s="61"/>
      <c r="H988" s="61"/>
      <c r="I988" s="61"/>
      <c r="J988" s="61"/>
      <c r="K988" s="61"/>
    </row>
    <row r="989">
      <c r="C989" s="61"/>
      <c r="H989" s="61"/>
      <c r="I989" s="61"/>
      <c r="J989" s="61"/>
      <c r="K989" s="61"/>
    </row>
    <row r="990">
      <c r="C990" s="61"/>
      <c r="H990" s="61"/>
      <c r="I990" s="61"/>
      <c r="J990" s="61"/>
      <c r="K990" s="61"/>
    </row>
    <row r="991">
      <c r="C991" s="61"/>
      <c r="H991" s="61"/>
      <c r="I991" s="61"/>
      <c r="J991" s="61"/>
      <c r="K991" s="61"/>
    </row>
    <row r="992">
      <c r="C992" s="61"/>
      <c r="H992" s="61"/>
      <c r="I992" s="61"/>
      <c r="J992" s="61"/>
      <c r="K992" s="61"/>
    </row>
    <row r="993">
      <c r="C993" s="61"/>
      <c r="H993" s="61"/>
      <c r="I993" s="61"/>
      <c r="J993" s="61"/>
      <c r="K993" s="61"/>
    </row>
    <row r="994">
      <c r="C994" s="61"/>
      <c r="H994" s="61"/>
      <c r="I994" s="61"/>
      <c r="J994" s="61"/>
      <c r="K994" s="61"/>
    </row>
    <row r="995">
      <c r="C995" s="61"/>
      <c r="H995" s="61"/>
      <c r="I995" s="61"/>
      <c r="J995" s="61"/>
      <c r="K995" s="61"/>
    </row>
    <row r="996">
      <c r="C996" s="61"/>
      <c r="H996" s="61"/>
      <c r="I996" s="61"/>
      <c r="J996" s="61"/>
      <c r="K996" s="61"/>
    </row>
    <row r="997">
      <c r="C997" s="61"/>
      <c r="H997" s="61"/>
      <c r="I997" s="61"/>
      <c r="J997" s="61"/>
      <c r="K997" s="61"/>
    </row>
    <row r="998">
      <c r="C998" s="61"/>
      <c r="H998" s="61"/>
      <c r="I998" s="61"/>
      <c r="J998" s="61"/>
      <c r="K998" s="61"/>
    </row>
    <row r="999">
      <c r="C999" s="61"/>
      <c r="H999" s="61"/>
      <c r="I999" s="61"/>
      <c r="J999" s="61"/>
      <c r="K999" s="61"/>
    </row>
    <row r="1000">
      <c r="C1000" s="61"/>
      <c r="H1000" s="61"/>
      <c r="I1000" s="61"/>
      <c r="J1000" s="61"/>
      <c r="K1000" s="61"/>
    </row>
    <row r="1001">
      <c r="C1001" s="61"/>
      <c r="H1001" s="61"/>
      <c r="I1001" s="61"/>
      <c r="J1001" s="61"/>
      <c r="K1001" s="61"/>
    </row>
    <row r="1002">
      <c r="C1002" s="61"/>
      <c r="H1002" s="61"/>
      <c r="I1002" s="61"/>
      <c r="J1002" s="61"/>
      <c r="K1002" s="61"/>
    </row>
    <row r="1003">
      <c r="C1003" s="61"/>
      <c r="H1003" s="61"/>
      <c r="I1003" s="61"/>
      <c r="J1003" s="61"/>
      <c r="K1003" s="61"/>
    </row>
    <row r="1004">
      <c r="C1004" s="61"/>
      <c r="H1004" s="61"/>
      <c r="I1004" s="61"/>
      <c r="J1004" s="61"/>
      <c r="K1004" s="61"/>
    </row>
    <row r="1005">
      <c r="C1005" s="61"/>
      <c r="H1005" s="61"/>
      <c r="I1005" s="61"/>
      <c r="J1005" s="61"/>
      <c r="K1005" s="61"/>
    </row>
    <row r="1006">
      <c r="C1006" s="61"/>
      <c r="H1006" s="61"/>
      <c r="I1006" s="61"/>
      <c r="J1006" s="61"/>
      <c r="K1006" s="61"/>
    </row>
    <row r="1007">
      <c r="C1007" s="61"/>
      <c r="H1007" s="61"/>
      <c r="I1007" s="61"/>
      <c r="J1007" s="61"/>
      <c r="K1007" s="61"/>
    </row>
    <row r="1008">
      <c r="C1008" s="61"/>
      <c r="H1008" s="61"/>
      <c r="I1008" s="61"/>
      <c r="J1008" s="61"/>
      <c r="K1008" s="61"/>
    </row>
    <row r="1009">
      <c r="C1009" s="61"/>
      <c r="H1009" s="61"/>
      <c r="I1009" s="61"/>
      <c r="J1009" s="61"/>
      <c r="K1009" s="61"/>
    </row>
    <row r="1010">
      <c r="C1010" s="61"/>
      <c r="H1010" s="61"/>
      <c r="I1010" s="61"/>
      <c r="J1010" s="61"/>
      <c r="K1010" s="61"/>
    </row>
    <row r="1011">
      <c r="C1011" s="61"/>
      <c r="H1011" s="61"/>
      <c r="I1011" s="61"/>
      <c r="J1011" s="61"/>
      <c r="K1011" s="61"/>
    </row>
    <row r="1012">
      <c r="C1012" s="61"/>
      <c r="H1012" s="61"/>
      <c r="I1012" s="61"/>
      <c r="J1012" s="61"/>
      <c r="K1012" s="61"/>
    </row>
    <row r="1013">
      <c r="C1013" s="61"/>
      <c r="H1013" s="61"/>
      <c r="I1013" s="61"/>
      <c r="J1013" s="61"/>
      <c r="K1013" s="61"/>
    </row>
    <row r="1014">
      <c r="C1014" s="61"/>
      <c r="H1014" s="61"/>
      <c r="I1014" s="61"/>
      <c r="J1014" s="61"/>
      <c r="K1014" s="61"/>
    </row>
    <row r="1015">
      <c r="C1015" s="61"/>
      <c r="H1015" s="61"/>
      <c r="I1015" s="61"/>
      <c r="J1015" s="61"/>
      <c r="K1015" s="61"/>
    </row>
    <row r="1016">
      <c r="C1016" s="61"/>
      <c r="H1016" s="61"/>
      <c r="I1016" s="61"/>
      <c r="J1016" s="61"/>
      <c r="K1016" s="61"/>
    </row>
    <row r="1017">
      <c r="C1017" s="61"/>
      <c r="H1017" s="61"/>
      <c r="I1017" s="61"/>
      <c r="J1017" s="61"/>
      <c r="K1017" s="61"/>
    </row>
    <row r="1018">
      <c r="C1018" s="61"/>
      <c r="H1018" s="61"/>
      <c r="I1018" s="61"/>
      <c r="J1018" s="61"/>
      <c r="K1018" s="61"/>
    </row>
    <row r="1019">
      <c r="C1019" s="61"/>
      <c r="H1019" s="61"/>
      <c r="I1019" s="61"/>
      <c r="J1019" s="61"/>
      <c r="K1019" s="61"/>
    </row>
    <row r="1020">
      <c r="C1020" s="61"/>
      <c r="H1020" s="61"/>
      <c r="I1020" s="61"/>
      <c r="J1020" s="61"/>
      <c r="K1020" s="61"/>
    </row>
    <row r="1021">
      <c r="C1021" s="61"/>
      <c r="H1021" s="61"/>
      <c r="I1021" s="61"/>
      <c r="J1021" s="61"/>
      <c r="K1021" s="61"/>
    </row>
    <row r="1022">
      <c r="C1022" s="61"/>
      <c r="H1022" s="61"/>
      <c r="I1022" s="61"/>
      <c r="J1022" s="61"/>
      <c r="K1022" s="61"/>
    </row>
    <row r="1023">
      <c r="C1023" s="61"/>
      <c r="H1023" s="61"/>
      <c r="I1023" s="61"/>
      <c r="J1023" s="61"/>
      <c r="K1023" s="61"/>
    </row>
    <row r="1024">
      <c r="C1024" s="61"/>
      <c r="H1024" s="61"/>
      <c r="I1024" s="61"/>
      <c r="J1024" s="61"/>
      <c r="K1024" s="61"/>
    </row>
    <row r="1025">
      <c r="C1025" s="61"/>
      <c r="H1025" s="61"/>
      <c r="I1025" s="61"/>
      <c r="J1025" s="61"/>
      <c r="K1025" s="61"/>
    </row>
    <row r="1026">
      <c r="C1026" s="61"/>
      <c r="H1026" s="61"/>
      <c r="I1026" s="61"/>
      <c r="J1026" s="61"/>
      <c r="K1026" s="61"/>
    </row>
    <row r="1027">
      <c r="C1027" s="61"/>
      <c r="H1027" s="61"/>
      <c r="I1027" s="61"/>
      <c r="J1027" s="61"/>
      <c r="K1027" s="61"/>
    </row>
    <row r="1028">
      <c r="C1028" s="61"/>
      <c r="H1028" s="61"/>
      <c r="I1028" s="61"/>
      <c r="J1028" s="61"/>
      <c r="K1028" s="61"/>
    </row>
  </sheetData>
  <mergeCells count="22">
    <mergeCell ref="B9:B11"/>
    <mergeCell ref="B12:B14"/>
    <mergeCell ref="B15:B17"/>
    <mergeCell ref="B18:B20"/>
    <mergeCell ref="B21:B23"/>
    <mergeCell ref="B24:B26"/>
    <mergeCell ref="A1:A5"/>
    <mergeCell ref="B1:O1"/>
    <mergeCell ref="D2:F2"/>
    <mergeCell ref="D3:F3"/>
    <mergeCell ref="B4:O4"/>
    <mergeCell ref="A6:A32"/>
    <mergeCell ref="B6:B8"/>
    <mergeCell ref="C48:S48"/>
    <mergeCell ref="C49:S49"/>
    <mergeCell ref="B27:B29"/>
    <mergeCell ref="B30:B32"/>
    <mergeCell ref="B33:B35"/>
    <mergeCell ref="B36:B38"/>
    <mergeCell ref="B39:B41"/>
    <mergeCell ref="B42:B44"/>
    <mergeCell ref="B45:B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13"/>
    <col customWidth="1" min="3" max="3" width="15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9" t="s">
        <v>23</v>
      </c>
      <c r="U5" s="9" t="s">
        <v>24</v>
      </c>
      <c r="V5" s="9" t="s">
        <v>25</v>
      </c>
      <c r="W5" s="10" t="s">
        <v>26</v>
      </c>
      <c r="X5" s="11" t="s">
        <v>27</v>
      </c>
    </row>
    <row r="6" ht="22.5" customHeight="1">
      <c r="A6" s="1"/>
      <c r="B6" s="12">
        <v>0.0</v>
      </c>
      <c r="C6" s="13" t="s">
        <v>28</v>
      </c>
      <c r="D6" s="14">
        <v>45628.0</v>
      </c>
      <c r="E6" s="14">
        <v>45631.0</v>
      </c>
      <c r="F6" s="15">
        <v>45634.0</v>
      </c>
      <c r="G6" s="14">
        <v>45641.0</v>
      </c>
      <c r="H6" s="14">
        <v>45644.0</v>
      </c>
      <c r="I6" s="14">
        <v>45646.0</v>
      </c>
      <c r="J6" s="14">
        <v>45647.0</v>
      </c>
      <c r="K6" s="15">
        <v>45649.0</v>
      </c>
      <c r="L6" s="16"/>
      <c r="M6" s="16"/>
      <c r="N6" s="17"/>
      <c r="O6" s="17"/>
      <c r="P6" s="18"/>
      <c r="Q6" s="19"/>
      <c r="R6" s="19"/>
      <c r="S6" s="19"/>
      <c r="T6" s="18">
        <v>46003.0</v>
      </c>
      <c r="U6" s="19"/>
      <c r="V6" s="19"/>
      <c r="W6" s="19"/>
      <c r="X6" s="20"/>
      <c r="Y6" s="21"/>
      <c r="Z6" s="21"/>
      <c r="AA6" s="21"/>
      <c r="AB6" s="21"/>
      <c r="AC6" s="21"/>
      <c r="AD6" s="21"/>
      <c r="AE6" s="21"/>
      <c r="AF6" s="21"/>
    </row>
    <row r="7" ht="33.75" customHeight="1">
      <c r="B7" s="22"/>
      <c r="C7" s="23" t="s">
        <v>29</v>
      </c>
      <c r="D7" s="24">
        <v>2.0</v>
      </c>
      <c r="E7" s="24">
        <v>1.5</v>
      </c>
      <c r="F7" s="23">
        <v>0.0</v>
      </c>
      <c r="G7" s="24">
        <v>1.5</v>
      </c>
      <c r="H7" s="23">
        <v>2.0</v>
      </c>
      <c r="I7" s="24">
        <v>1.0</v>
      </c>
      <c r="J7" s="24">
        <v>2.0</v>
      </c>
      <c r="K7" s="23">
        <v>0.0</v>
      </c>
      <c r="L7" s="25"/>
      <c r="M7" s="25"/>
      <c r="N7" s="26"/>
      <c r="O7" s="26"/>
      <c r="P7" s="24"/>
      <c r="Q7" s="19"/>
      <c r="R7" s="19"/>
      <c r="S7" s="24"/>
      <c r="T7" s="24">
        <v>2.0</v>
      </c>
      <c r="U7" s="19"/>
      <c r="V7" s="19"/>
      <c r="W7" s="24">
        <f>SUM(G7:V7)</f>
        <v>8.5</v>
      </c>
      <c r="X7" s="27">
        <v>0.0</v>
      </c>
    </row>
    <row r="8" ht="33.75" customHeight="1">
      <c r="B8" s="28"/>
      <c r="C8" s="29" t="s">
        <v>30</v>
      </c>
      <c r="D8" s="25"/>
      <c r="E8" s="25"/>
      <c r="F8" s="29" t="s">
        <v>31</v>
      </c>
      <c r="G8" s="25"/>
      <c r="H8" s="29" t="s">
        <v>32</v>
      </c>
      <c r="I8" s="25"/>
      <c r="J8" s="25"/>
      <c r="K8" s="29" t="s">
        <v>33</v>
      </c>
      <c r="L8" s="25"/>
      <c r="M8" s="25"/>
      <c r="N8" s="26"/>
      <c r="O8" s="26"/>
      <c r="P8" s="24"/>
      <c r="Q8" s="19"/>
      <c r="R8" s="19"/>
      <c r="S8" s="24"/>
      <c r="T8" s="24"/>
      <c r="U8" s="19"/>
      <c r="V8" s="19"/>
      <c r="W8" s="24"/>
      <c r="X8" s="20"/>
    </row>
    <row r="9" ht="22.5" customHeight="1">
      <c r="B9" s="12">
        <v>1.0</v>
      </c>
      <c r="C9" s="30" t="s">
        <v>34</v>
      </c>
      <c r="D9" s="15">
        <v>46023.0</v>
      </c>
      <c r="E9" s="57">
        <v>46027.0</v>
      </c>
      <c r="F9" s="57">
        <v>46030.0</v>
      </c>
      <c r="G9" s="57">
        <v>46034.0</v>
      </c>
      <c r="H9" s="57">
        <v>46037.0</v>
      </c>
      <c r="I9" s="57">
        <v>46041.0</v>
      </c>
      <c r="J9" s="57">
        <v>46044.0</v>
      </c>
      <c r="K9" s="57">
        <v>46048.0</v>
      </c>
      <c r="L9" s="57">
        <v>46051.0</v>
      </c>
      <c r="M9" s="33"/>
      <c r="N9" s="34"/>
      <c r="O9" s="34"/>
      <c r="P9" s="35"/>
      <c r="Q9" s="36"/>
      <c r="R9" s="36"/>
      <c r="S9" s="36"/>
      <c r="T9" s="36"/>
      <c r="U9" s="36"/>
      <c r="V9" s="36"/>
      <c r="W9" s="36"/>
      <c r="X9" s="20"/>
      <c r="Y9" s="21"/>
      <c r="Z9" s="21"/>
      <c r="AA9" s="21"/>
      <c r="AB9" s="21"/>
      <c r="AC9" s="21"/>
      <c r="AD9" s="21"/>
      <c r="AE9" s="21"/>
      <c r="AF9" s="21"/>
    </row>
    <row r="10" ht="22.5" customHeight="1">
      <c r="B10" s="22"/>
      <c r="C10" s="37" t="s">
        <v>29</v>
      </c>
      <c r="D10" s="38">
        <v>0.0</v>
      </c>
      <c r="E10" s="38">
        <v>1.0</v>
      </c>
      <c r="F10" s="38">
        <v>1.5</v>
      </c>
      <c r="G10" s="38">
        <v>1.0</v>
      </c>
      <c r="H10" s="38">
        <v>1.5</v>
      </c>
      <c r="I10" s="38">
        <v>1.0</v>
      </c>
      <c r="J10" s="38">
        <v>1.5</v>
      </c>
      <c r="K10" s="38">
        <v>1.0</v>
      </c>
      <c r="L10" s="38">
        <v>1.5</v>
      </c>
      <c r="M10" s="39"/>
      <c r="N10" s="40"/>
      <c r="O10" s="40"/>
      <c r="P10" s="36"/>
      <c r="Q10" s="36"/>
      <c r="R10" s="36"/>
      <c r="S10" s="41"/>
      <c r="T10" s="41"/>
      <c r="U10" s="41"/>
      <c r="V10" s="41"/>
      <c r="W10" s="41">
        <v>10.0</v>
      </c>
      <c r="X10" s="42">
        <f>W10*30000</f>
        <v>300000</v>
      </c>
    </row>
    <row r="11" ht="30.75" customHeight="1">
      <c r="B11" s="28"/>
      <c r="C11" s="43" t="s">
        <v>30</v>
      </c>
      <c r="D11" s="38" t="s">
        <v>59</v>
      </c>
      <c r="E11" s="45"/>
      <c r="F11" s="38"/>
      <c r="G11" s="45"/>
      <c r="H11" s="38"/>
      <c r="I11" s="45"/>
      <c r="J11" s="38"/>
      <c r="K11" s="38"/>
      <c r="L11" s="39"/>
      <c r="M11" s="39"/>
      <c r="N11" s="40"/>
      <c r="O11" s="40"/>
      <c r="P11" s="36"/>
      <c r="Q11" s="36"/>
      <c r="R11" s="36"/>
      <c r="S11" s="36"/>
      <c r="T11" s="36"/>
      <c r="U11" s="36"/>
      <c r="V11" s="36"/>
      <c r="W11" s="36"/>
      <c r="X11" s="20"/>
    </row>
    <row r="12" ht="22.5" customHeight="1">
      <c r="B12" s="12">
        <v>2.0</v>
      </c>
      <c r="C12" s="30" t="s">
        <v>60</v>
      </c>
      <c r="D12" s="15">
        <v>46023.0</v>
      </c>
      <c r="E12" s="57">
        <v>46027.0</v>
      </c>
      <c r="F12" s="57">
        <v>46030.0</v>
      </c>
      <c r="G12" s="57">
        <v>46034.0</v>
      </c>
      <c r="H12" s="15">
        <v>46037.0</v>
      </c>
      <c r="I12" s="57">
        <v>46041.0</v>
      </c>
      <c r="J12" s="15">
        <v>46044.0</v>
      </c>
      <c r="K12" s="57">
        <v>46048.0</v>
      </c>
      <c r="L12" s="15">
        <v>46051.0</v>
      </c>
      <c r="M12" s="33"/>
      <c r="N12" s="45"/>
      <c r="O12" s="34"/>
      <c r="P12" s="36"/>
      <c r="Q12" s="36"/>
      <c r="R12" s="36"/>
      <c r="S12" s="36"/>
      <c r="T12" s="36"/>
      <c r="U12" s="36"/>
      <c r="V12" s="36"/>
      <c r="W12" s="36"/>
      <c r="X12" s="42"/>
      <c r="Y12" s="21"/>
      <c r="Z12" s="21"/>
      <c r="AA12" s="21"/>
      <c r="AB12" s="21"/>
      <c r="AC12" s="21"/>
      <c r="AD12" s="21"/>
      <c r="AE12" s="21"/>
      <c r="AF12" s="21"/>
    </row>
    <row r="13" ht="22.5" customHeight="1">
      <c r="B13" s="22"/>
      <c r="C13" s="37" t="s">
        <v>29</v>
      </c>
      <c r="D13" s="38">
        <v>0.0</v>
      </c>
      <c r="E13" s="38">
        <v>2.0</v>
      </c>
      <c r="F13" s="38">
        <v>2.0</v>
      </c>
      <c r="G13" s="38">
        <v>2.0</v>
      </c>
      <c r="H13" s="71">
        <v>0.0</v>
      </c>
      <c r="I13" s="38">
        <v>2.0</v>
      </c>
      <c r="J13" s="38">
        <v>0.0</v>
      </c>
      <c r="K13" s="38">
        <v>2.0</v>
      </c>
      <c r="L13" s="38">
        <v>0.0</v>
      </c>
      <c r="M13" s="38"/>
      <c r="N13" s="38"/>
      <c r="O13" s="40"/>
      <c r="P13" s="36"/>
      <c r="Q13" s="36"/>
      <c r="R13" s="36"/>
      <c r="S13" s="36"/>
      <c r="T13" s="36"/>
      <c r="U13" s="36"/>
      <c r="V13" s="36"/>
      <c r="W13" s="41">
        <v>10.0</v>
      </c>
      <c r="X13" s="42">
        <f>W13*30000</f>
        <v>300000</v>
      </c>
    </row>
    <row r="14" ht="37.5" customHeight="1">
      <c r="B14" s="28"/>
      <c r="C14" s="43" t="s">
        <v>30</v>
      </c>
      <c r="D14" s="38" t="s">
        <v>59</v>
      </c>
      <c r="E14" s="45"/>
      <c r="F14" s="45"/>
      <c r="G14" s="38"/>
      <c r="H14" s="71" t="s">
        <v>61</v>
      </c>
      <c r="I14" s="44"/>
      <c r="J14" s="38" t="s">
        <v>35</v>
      </c>
      <c r="K14" s="43"/>
      <c r="L14" s="38" t="s">
        <v>35</v>
      </c>
      <c r="M14" s="38"/>
      <c r="N14" s="40"/>
      <c r="O14" s="40"/>
      <c r="P14" s="36"/>
      <c r="Q14" s="36"/>
      <c r="R14" s="36"/>
      <c r="S14" s="36"/>
      <c r="T14" s="36"/>
      <c r="U14" s="36"/>
      <c r="V14" s="36"/>
      <c r="W14" s="36"/>
      <c r="X14" s="42"/>
    </row>
    <row r="15" ht="22.5" customHeight="1">
      <c r="B15" s="12">
        <v>3.0</v>
      </c>
      <c r="C15" s="30" t="s">
        <v>37</v>
      </c>
      <c r="D15" s="62">
        <v>46039.0</v>
      </c>
      <c r="E15" s="62">
        <v>46046.0</v>
      </c>
      <c r="F15" s="62">
        <v>46053.0</v>
      </c>
      <c r="G15" s="70"/>
      <c r="H15" s="50"/>
      <c r="I15" s="50"/>
      <c r="J15" s="50"/>
      <c r="K15" s="50"/>
      <c r="L15" s="46"/>
      <c r="M15" s="46"/>
      <c r="N15" s="47"/>
      <c r="O15" s="47"/>
      <c r="P15" s="36"/>
      <c r="Q15" s="36"/>
      <c r="R15" s="36"/>
      <c r="S15" s="36"/>
      <c r="T15" s="36"/>
      <c r="U15" s="36"/>
      <c r="V15" s="36"/>
      <c r="W15" s="36"/>
      <c r="X15" s="20"/>
      <c r="Y15" s="21"/>
      <c r="Z15" s="21"/>
      <c r="AA15" s="21"/>
      <c r="AB15" s="21"/>
      <c r="AC15" s="21"/>
      <c r="AD15" s="21"/>
      <c r="AE15" s="21"/>
      <c r="AF15" s="21"/>
    </row>
    <row r="16" ht="22.5" customHeight="1">
      <c r="B16" s="22"/>
      <c r="C16" s="37" t="s">
        <v>29</v>
      </c>
      <c r="D16" s="38">
        <v>1.0</v>
      </c>
      <c r="E16" s="38">
        <v>1.0</v>
      </c>
      <c r="F16" s="38">
        <v>1.0</v>
      </c>
      <c r="G16" s="38"/>
      <c r="H16" s="38"/>
      <c r="I16" s="45"/>
      <c r="J16" s="45"/>
      <c r="K16" s="45"/>
      <c r="L16" s="39"/>
      <c r="M16" s="39"/>
      <c r="N16" s="48"/>
      <c r="O16" s="48"/>
      <c r="P16" s="49"/>
      <c r="Q16" s="49"/>
      <c r="R16" s="49"/>
      <c r="S16" s="36"/>
      <c r="T16" s="36"/>
      <c r="U16" s="36"/>
      <c r="V16" s="36"/>
      <c r="W16" s="41">
        <v>3.0</v>
      </c>
      <c r="X16" s="42">
        <f>W16*30000</f>
        <v>90000</v>
      </c>
    </row>
    <row r="17" ht="36.0" customHeight="1">
      <c r="B17" s="28"/>
      <c r="C17" s="43" t="s">
        <v>30</v>
      </c>
      <c r="D17" s="45"/>
      <c r="E17" s="45"/>
      <c r="F17" s="38"/>
      <c r="G17" s="44"/>
      <c r="H17" s="45"/>
      <c r="I17" s="45"/>
      <c r="J17" s="45"/>
      <c r="K17" s="45"/>
      <c r="L17" s="39"/>
      <c r="M17" s="39"/>
      <c r="N17" s="48"/>
      <c r="O17" s="48"/>
      <c r="P17" s="49"/>
      <c r="Q17" s="49"/>
      <c r="R17" s="49"/>
      <c r="S17" s="36"/>
      <c r="T17" s="36"/>
      <c r="U17" s="36"/>
      <c r="V17" s="36"/>
      <c r="W17" s="36"/>
      <c r="X17" s="42"/>
    </row>
    <row r="18" ht="22.5" customHeight="1">
      <c r="B18" s="12">
        <v>4.0</v>
      </c>
      <c r="C18" s="30" t="s">
        <v>39</v>
      </c>
      <c r="D18" s="57">
        <v>46027.0</v>
      </c>
      <c r="E18" s="57">
        <v>46029.0</v>
      </c>
      <c r="F18" s="57">
        <v>46034.0</v>
      </c>
      <c r="G18" s="57">
        <v>46036.0</v>
      </c>
      <c r="H18" s="57">
        <v>46041.0</v>
      </c>
      <c r="I18" s="57">
        <v>46043.0</v>
      </c>
      <c r="J18" s="57">
        <v>46048.0</v>
      </c>
      <c r="K18" s="57">
        <v>46049.0</v>
      </c>
      <c r="L18" s="33"/>
      <c r="M18" s="50"/>
      <c r="N18" s="45"/>
      <c r="O18" s="47"/>
      <c r="P18" s="49"/>
      <c r="Q18" s="49"/>
      <c r="R18" s="49"/>
      <c r="S18" s="36"/>
      <c r="T18" s="36"/>
      <c r="U18" s="36"/>
      <c r="V18" s="36"/>
      <c r="W18" s="36"/>
      <c r="X18" s="20"/>
      <c r="Y18" s="21"/>
      <c r="Z18" s="21"/>
      <c r="AA18" s="21"/>
      <c r="AB18" s="21"/>
      <c r="AC18" s="21"/>
      <c r="AD18" s="21"/>
      <c r="AE18" s="21"/>
      <c r="AF18" s="21"/>
    </row>
    <row r="19" ht="22.5" customHeight="1">
      <c r="B19" s="22"/>
      <c r="C19" s="43" t="s">
        <v>29</v>
      </c>
      <c r="D19" s="38">
        <v>1.0</v>
      </c>
      <c r="E19" s="38">
        <v>1.0</v>
      </c>
      <c r="F19" s="38">
        <v>1.0</v>
      </c>
      <c r="G19" s="38">
        <v>1.0</v>
      </c>
      <c r="H19" s="38">
        <v>1.0</v>
      </c>
      <c r="I19" s="38">
        <v>1.0</v>
      </c>
      <c r="J19" s="38">
        <v>1.0</v>
      </c>
      <c r="K19" s="38">
        <v>1.0</v>
      </c>
      <c r="L19" s="39"/>
      <c r="M19" s="39"/>
      <c r="N19" s="48"/>
      <c r="O19" s="48"/>
      <c r="P19" s="49"/>
      <c r="Q19" s="49"/>
      <c r="R19" s="49"/>
      <c r="S19" s="36"/>
      <c r="T19" s="36"/>
      <c r="U19" s="36"/>
      <c r="V19" s="36"/>
      <c r="W19" s="41">
        <v>8.0</v>
      </c>
      <c r="X19" s="42">
        <f>W19*30000</f>
        <v>240000</v>
      </c>
    </row>
    <row r="20" ht="30.75" customHeight="1">
      <c r="B20" s="28"/>
      <c r="C20" s="43" t="s">
        <v>30</v>
      </c>
      <c r="D20" s="44"/>
      <c r="E20" s="44"/>
      <c r="F20" s="45"/>
      <c r="G20" s="38"/>
      <c r="H20" s="45"/>
      <c r="I20" s="38"/>
      <c r="J20" s="38"/>
      <c r="K20" s="38"/>
      <c r="L20" s="39"/>
      <c r="M20" s="39"/>
      <c r="N20" s="48"/>
      <c r="O20" s="48"/>
      <c r="P20" s="49"/>
      <c r="Q20" s="49"/>
      <c r="R20" s="49"/>
      <c r="S20" s="36"/>
      <c r="T20" s="36"/>
      <c r="U20" s="36"/>
      <c r="V20" s="36"/>
      <c r="W20" s="36"/>
      <c r="X20" s="42"/>
    </row>
    <row r="21" ht="22.5" customHeight="1">
      <c r="B21" s="12">
        <v>5.0</v>
      </c>
      <c r="C21" s="30" t="s">
        <v>40</v>
      </c>
      <c r="D21" s="15">
        <v>46023.0</v>
      </c>
      <c r="E21" s="57">
        <v>46028.0</v>
      </c>
      <c r="F21" s="57">
        <v>46030.0</v>
      </c>
      <c r="G21" s="57">
        <v>46035.0</v>
      </c>
      <c r="H21" s="57">
        <v>46037.0</v>
      </c>
      <c r="I21" s="57">
        <v>46042.0</v>
      </c>
      <c r="J21" s="15">
        <v>46044.0</v>
      </c>
      <c r="K21" s="57">
        <v>46049.0</v>
      </c>
      <c r="L21" s="57">
        <v>46051.0</v>
      </c>
      <c r="M21" s="45"/>
      <c r="N21" s="45"/>
      <c r="O21" s="47"/>
      <c r="P21" s="36"/>
      <c r="Q21" s="36"/>
      <c r="R21" s="36"/>
      <c r="S21" s="36"/>
      <c r="T21" s="36"/>
      <c r="U21" s="36"/>
      <c r="V21" s="36"/>
      <c r="W21" s="36"/>
      <c r="X21" s="42"/>
      <c r="Y21" s="21"/>
      <c r="Z21" s="21"/>
      <c r="AA21" s="21"/>
      <c r="AB21" s="21"/>
      <c r="AC21" s="21"/>
      <c r="AD21" s="21"/>
      <c r="AE21" s="21"/>
      <c r="AF21" s="21"/>
    </row>
    <row r="22" ht="22.5" customHeight="1">
      <c r="B22" s="22"/>
      <c r="C22" s="43" t="s">
        <v>29</v>
      </c>
      <c r="D22" s="38">
        <v>0.0</v>
      </c>
      <c r="E22" s="38">
        <v>1.0</v>
      </c>
      <c r="F22" s="38">
        <v>1.0</v>
      </c>
      <c r="G22" s="38">
        <v>1.0</v>
      </c>
      <c r="H22" s="38">
        <v>1.0</v>
      </c>
      <c r="I22" s="38">
        <v>1.0</v>
      </c>
      <c r="J22" s="51">
        <v>0.0</v>
      </c>
      <c r="K22" s="38">
        <v>1.0</v>
      </c>
      <c r="L22" s="38">
        <v>1.0</v>
      </c>
      <c r="M22" s="39"/>
      <c r="N22" s="48"/>
      <c r="O22" s="48"/>
      <c r="P22" s="36"/>
      <c r="Q22" s="36"/>
      <c r="R22" s="36"/>
      <c r="S22" s="36"/>
      <c r="T22" s="36"/>
      <c r="U22" s="36"/>
      <c r="V22" s="36"/>
      <c r="W22" s="41">
        <v>7.0</v>
      </c>
      <c r="X22" s="42">
        <f>W22*30000</f>
        <v>210000</v>
      </c>
    </row>
    <row r="23" ht="30.0" customHeight="1">
      <c r="B23" s="28"/>
      <c r="C23" s="43" t="s">
        <v>30</v>
      </c>
      <c r="D23" s="38" t="s">
        <v>59</v>
      </c>
      <c r="E23" s="38"/>
      <c r="F23" s="45"/>
      <c r="G23" s="45"/>
      <c r="H23" s="52"/>
      <c r="I23" s="38"/>
      <c r="J23" s="38" t="s">
        <v>35</v>
      </c>
      <c r="K23" s="53"/>
      <c r="L23" s="39"/>
      <c r="M23" s="39"/>
      <c r="N23" s="48"/>
      <c r="O23" s="48"/>
      <c r="P23" s="36"/>
      <c r="Q23" s="36"/>
      <c r="R23" s="36"/>
      <c r="S23" s="36"/>
      <c r="T23" s="36"/>
      <c r="U23" s="36"/>
      <c r="V23" s="36"/>
      <c r="W23" s="36"/>
      <c r="X23" s="42"/>
    </row>
    <row r="24" ht="22.5" customHeight="1">
      <c r="B24" s="12">
        <v>6.0</v>
      </c>
      <c r="C24" s="54" t="s">
        <v>41</v>
      </c>
      <c r="D24" s="57">
        <v>46024.0</v>
      </c>
      <c r="E24" s="57">
        <v>46028.0</v>
      </c>
      <c r="F24" s="57">
        <v>46029.0</v>
      </c>
      <c r="G24" s="57">
        <v>46031.0</v>
      </c>
      <c r="H24" s="57">
        <v>46035.0</v>
      </c>
      <c r="I24" s="57">
        <v>46036.0</v>
      </c>
      <c r="J24" s="57">
        <v>46038.0</v>
      </c>
      <c r="K24" s="57">
        <v>46042.0</v>
      </c>
      <c r="L24" s="57">
        <v>46043.0</v>
      </c>
      <c r="M24" s="57">
        <v>46045.0</v>
      </c>
      <c r="N24" s="57">
        <v>46049.0</v>
      </c>
      <c r="O24" s="57">
        <v>46050.0</v>
      </c>
      <c r="P24" s="57">
        <v>46052.0</v>
      </c>
      <c r="Q24" s="50"/>
      <c r="R24" s="45"/>
      <c r="S24" s="41"/>
      <c r="T24" s="41"/>
      <c r="U24" s="41"/>
      <c r="V24" s="41"/>
      <c r="W24" s="41"/>
      <c r="X24" s="58"/>
      <c r="Y24" s="59"/>
      <c r="Z24" s="59"/>
      <c r="AA24" s="59"/>
      <c r="AB24" s="59"/>
      <c r="AC24" s="59"/>
      <c r="AD24" s="59"/>
      <c r="AE24" s="59"/>
      <c r="AF24" s="59"/>
    </row>
    <row r="25" ht="22.5" customHeight="1">
      <c r="B25" s="22"/>
      <c r="C25" s="37" t="s">
        <v>29</v>
      </c>
      <c r="D25" s="38">
        <v>2.0</v>
      </c>
      <c r="E25" s="38">
        <v>2.0</v>
      </c>
      <c r="F25" s="38">
        <v>2.0</v>
      </c>
      <c r="G25" s="38">
        <v>2.0</v>
      </c>
      <c r="H25" s="38">
        <v>2.0</v>
      </c>
      <c r="I25" s="38">
        <v>2.0</v>
      </c>
      <c r="J25" s="43">
        <v>2.0</v>
      </c>
      <c r="K25" s="38">
        <v>2.5</v>
      </c>
      <c r="L25" s="38">
        <v>2.0</v>
      </c>
      <c r="M25" s="43">
        <v>2.0</v>
      </c>
      <c r="N25" s="43">
        <v>2.0</v>
      </c>
      <c r="O25" s="43">
        <v>2.0</v>
      </c>
      <c r="P25" s="43">
        <v>2.0</v>
      </c>
      <c r="Q25" s="52"/>
      <c r="R25" s="36"/>
      <c r="S25" s="41"/>
      <c r="T25" s="41"/>
      <c r="U25" s="41"/>
      <c r="V25" s="41"/>
      <c r="W25" s="41">
        <v>26.5</v>
      </c>
      <c r="X25" s="42">
        <f>W25*55000</f>
        <v>1457500</v>
      </c>
      <c r="Y25" s="59"/>
      <c r="Z25" s="60"/>
      <c r="AA25" s="59"/>
      <c r="AB25" s="59"/>
      <c r="AC25" s="59"/>
      <c r="AD25" s="59"/>
      <c r="AE25" s="59"/>
      <c r="AF25" s="59"/>
    </row>
    <row r="26" ht="27.0" customHeight="1">
      <c r="B26" s="28"/>
      <c r="C26" s="37" t="s">
        <v>30</v>
      </c>
      <c r="D26" s="38"/>
      <c r="E26" s="38"/>
      <c r="F26" s="38"/>
      <c r="G26" s="38"/>
      <c r="H26" s="38"/>
      <c r="I26" s="55"/>
      <c r="J26" s="55"/>
      <c r="K26" s="38"/>
      <c r="L26" s="38"/>
      <c r="M26" s="55"/>
      <c r="N26" s="38"/>
      <c r="O26" s="38"/>
      <c r="P26" s="55"/>
      <c r="Q26" s="38"/>
      <c r="R26" s="36"/>
      <c r="S26" s="36"/>
      <c r="T26" s="36"/>
      <c r="U26" s="36"/>
      <c r="V26" s="36"/>
      <c r="W26" s="36"/>
      <c r="X26" s="58"/>
      <c r="Y26" s="61"/>
      <c r="Z26" s="61"/>
      <c r="AA26" s="61"/>
      <c r="AB26" s="61"/>
      <c r="AC26" s="61"/>
      <c r="AD26" s="61"/>
      <c r="AE26" s="61"/>
      <c r="AF26" s="61"/>
    </row>
    <row r="27" ht="20.25" customHeight="1">
      <c r="B27" s="12">
        <v>7.0</v>
      </c>
      <c r="C27" s="30" t="s">
        <v>55</v>
      </c>
      <c r="D27" s="62">
        <v>46041.0</v>
      </c>
      <c r="E27" s="62">
        <v>46045.0</v>
      </c>
      <c r="F27" s="62">
        <v>46048.0</v>
      </c>
      <c r="G27" s="62">
        <v>46052.0</v>
      </c>
      <c r="H27" s="56"/>
      <c r="I27" s="56"/>
      <c r="J27" s="56"/>
      <c r="K27" s="56"/>
      <c r="L27" s="56"/>
      <c r="M27" s="56"/>
      <c r="N27" s="63"/>
      <c r="O27" s="55"/>
      <c r="P27" s="55"/>
      <c r="Q27" s="44"/>
      <c r="R27" s="36"/>
      <c r="S27" s="36"/>
      <c r="T27" s="36"/>
      <c r="U27" s="36"/>
      <c r="V27" s="36"/>
      <c r="W27" s="36"/>
      <c r="X27" s="58"/>
      <c r="Y27" s="61"/>
      <c r="Z27" s="61"/>
      <c r="AA27" s="61"/>
      <c r="AB27" s="61"/>
      <c r="AC27" s="61"/>
      <c r="AD27" s="61"/>
      <c r="AE27" s="61"/>
      <c r="AF27" s="61"/>
    </row>
    <row r="28" ht="20.25" customHeight="1">
      <c r="B28" s="22"/>
      <c r="C28" s="37" t="s">
        <v>29</v>
      </c>
      <c r="D28" s="52">
        <v>2.0</v>
      </c>
      <c r="E28" s="52">
        <v>2.0</v>
      </c>
      <c r="F28" s="52">
        <v>2.0</v>
      </c>
      <c r="G28" s="52">
        <v>2.0</v>
      </c>
      <c r="H28" s="52"/>
      <c r="I28" s="51"/>
      <c r="J28" s="54"/>
      <c r="K28" s="54"/>
      <c r="L28" s="54"/>
      <c r="M28" s="51"/>
      <c r="N28" s="51"/>
      <c r="O28" s="55"/>
      <c r="P28" s="55"/>
      <c r="Q28" s="44"/>
      <c r="R28" s="36"/>
      <c r="S28" s="36"/>
      <c r="T28" s="36"/>
      <c r="U28" s="36"/>
      <c r="V28" s="36"/>
      <c r="W28" s="41">
        <v>8.0</v>
      </c>
      <c r="X28" s="42">
        <f>W28*30000</f>
        <v>240000</v>
      </c>
      <c r="Y28" s="61"/>
      <c r="Z28" s="61"/>
      <c r="AA28" s="61"/>
      <c r="AB28" s="61"/>
      <c r="AC28" s="61"/>
      <c r="AD28" s="61"/>
      <c r="AE28" s="61"/>
      <c r="AF28" s="61"/>
    </row>
    <row r="29" ht="20.25" customHeight="1">
      <c r="B29" s="28"/>
      <c r="C29" s="37" t="s">
        <v>30</v>
      </c>
      <c r="D29" s="52"/>
      <c r="E29" s="54"/>
      <c r="F29" s="55"/>
      <c r="G29" s="55"/>
      <c r="H29" s="55"/>
      <c r="I29" s="52"/>
      <c r="J29" s="55"/>
      <c r="K29" s="55"/>
      <c r="L29" s="55"/>
      <c r="M29" s="38"/>
      <c r="N29" s="38"/>
      <c r="O29" s="55"/>
      <c r="P29" s="55"/>
      <c r="Q29" s="44"/>
      <c r="R29" s="36"/>
      <c r="S29" s="36"/>
      <c r="T29" s="36"/>
      <c r="U29" s="36"/>
      <c r="V29" s="36"/>
      <c r="W29" s="36"/>
      <c r="X29" s="58"/>
      <c r="Y29" s="61"/>
      <c r="Z29" s="61"/>
      <c r="AA29" s="61"/>
      <c r="AB29" s="61"/>
      <c r="AC29" s="61"/>
      <c r="AD29" s="61"/>
      <c r="AE29" s="61"/>
      <c r="AF29" s="61"/>
    </row>
    <row r="30" ht="22.5" customHeight="1">
      <c r="B30" s="12">
        <v>8.0</v>
      </c>
      <c r="C30" s="54" t="s">
        <v>43</v>
      </c>
      <c r="D30" s="15">
        <v>46023.0</v>
      </c>
      <c r="E30" s="57">
        <v>46030.0</v>
      </c>
      <c r="F30" s="57">
        <v>46037.0</v>
      </c>
      <c r="G30" s="57">
        <v>46044.0</v>
      </c>
      <c r="H30" s="57">
        <v>46051.0</v>
      </c>
      <c r="I30" s="33"/>
      <c r="J30" s="33"/>
      <c r="K30" s="33"/>
      <c r="L30" s="33"/>
      <c r="M30" s="45"/>
      <c r="N30" s="45"/>
      <c r="O30" s="45"/>
      <c r="P30" s="45"/>
      <c r="Q30" s="36"/>
      <c r="R30" s="36"/>
      <c r="S30" s="36"/>
      <c r="T30" s="36"/>
      <c r="U30" s="36"/>
      <c r="V30" s="36"/>
      <c r="W30" s="36"/>
      <c r="X30" s="42"/>
      <c r="Y30" s="21"/>
      <c r="Z30" s="21"/>
      <c r="AA30" s="21"/>
      <c r="AB30" s="21"/>
      <c r="AC30" s="21"/>
      <c r="AD30" s="21"/>
      <c r="AE30" s="21"/>
      <c r="AF30" s="21"/>
    </row>
    <row r="31" ht="22.5" customHeight="1">
      <c r="B31" s="22"/>
      <c r="C31" s="37" t="s">
        <v>29</v>
      </c>
      <c r="D31" s="38">
        <v>0.0</v>
      </c>
      <c r="E31" s="38">
        <v>1.0</v>
      </c>
      <c r="F31" s="38">
        <v>1.0</v>
      </c>
      <c r="G31" s="38">
        <v>1.0</v>
      </c>
      <c r="H31" s="38">
        <v>1.0</v>
      </c>
      <c r="I31" s="38"/>
      <c r="J31" s="38"/>
      <c r="K31" s="51"/>
      <c r="L31" s="38"/>
      <c r="M31" s="64"/>
      <c r="N31" s="34"/>
      <c r="O31" s="34"/>
      <c r="P31" s="36"/>
      <c r="Q31" s="36"/>
      <c r="R31" s="36"/>
      <c r="S31" s="36"/>
      <c r="T31" s="36"/>
      <c r="U31" s="36"/>
      <c r="V31" s="36"/>
      <c r="W31" s="41">
        <v>4.0</v>
      </c>
      <c r="X31" s="42">
        <f>W31*30000</f>
        <v>120000</v>
      </c>
      <c r="Y31" s="21"/>
      <c r="Z31" s="21"/>
      <c r="AA31" s="21"/>
      <c r="AB31" s="21"/>
      <c r="AC31" s="21"/>
      <c r="AD31" s="21"/>
      <c r="AE31" s="21"/>
      <c r="AF31" s="21"/>
    </row>
    <row r="32" ht="29.25" customHeight="1">
      <c r="B32" s="28"/>
      <c r="C32" s="37" t="s">
        <v>30</v>
      </c>
      <c r="D32" s="38" t="s">
        <v>59</v>
      </c>
      <c r="E32" s="44"/>
      <c r="F32" s="44"/>
      <c r="G32" s="45"/>
      <c r="H32" s="38"/>
      <c r="I32" s="45"/>
      <c r="J32" s="38"/>
      <c r="K32" s="38"/>
      <c r="L32" s="38"/>
      <c r="M32" s="39"/>
      <c r="N32" s="40"/>
      <c r="O32" s="40"/>
      <c r="P32" s="36"/>
      <c r="Q32" s="36"/>
      <c r="R32" s="36"/>
      <c r="S32" s="36"/>
      <c r="T32" s="36"/>
      <c r="U32" s="36"/>
      <c r="V32" s="36"/>
      <c r="W32" s="36"/>
      <c r="X32" s="42"/>
    </row>
    <row r="33" ht="21.75" customHeight="1">
      <c r="A33" s="1"/>
      <c r="B33" s="12">
        <v>9.0</v>
      </c>
      <c r="C33" s="54" t="s">
        <v>62</v>
      </c>
      <c r="D33" s="57">
        <v>46024.0</v>
      </c>
      <c r="E33" s="45"/>
      <c r="F33" s="45"/>
      <c r="G33" s="63"/>
      <c r="H33" s="50"/>
      <c r="I33" s="44"/>
      <c r="J33" s="39"/>
      <c r="K33" s="39"/>
      <c r="L33" s="39"/>
      <c r="M33" s="39"/>
      <c r="N33" s="40"/>
      <c r="O33" s="40"/>
      <c r="P33" s="36"/>
      <c r="Q33" s="36"/>
      <c r="R33" s="36"/>
      <c r="S33" s="36"/>
      <c r="T33" s="36"/>
      <c r="U33" s="36"/>
      <c r="V33" s="36"/>
      <c r="W33" s="36"/>
      <c r="X33" s="42"/>
    </row>
    <row r="34" ht="21.75" customHeight="1">
      <c r="A34" s="1"/>
      <c r="B34" s="22"/>
      <c r="C34" s="37" t="s">
        <v>29</v>
      </c>
      <c r="D34" s="38">
        <v>2.0</v>
      </c>
      <c r="E34" s="38"/>
      <c r="F34" s="38"/>
      <c r="G34" s="38"/>
      <c r="H34" s="44"/>
      <c r="I34" s="44"/>
      <c r="J34" s="39"/>
      <c r="K34" s="39"/>
      <c r="L34" s="39"/>
      <c r="M34" s="39"/>
      <c r="N34" s="40"/>
      <c r="O34" s="40"/>
      <c r="P34" s="36"/>
      <c r="Q34" s="36"/>
      <c r="R34" s="36"/>
      <c r="S34" s="36"/>
      <c r="T34" s="36"/>
      <c r="U34" s="36"/>
      <c r="V34" s="36"/>
      <c r="W34" s="41">
        <v>2.0</v>
      </c>
      <c r="X34" s="42">
        <f>W34*45000</f>
        <v>90000</v>
      </c>
    </row>
    <row r="35" ht="29.25" customHeight="1">
      <c r="A35" s="1"/>
      <c r="B35" s="28"/>
      <c r="C35" s="37" t="s">
        <v>30</v>
      </c>
      <c r="D35" s="44"/>
      <c r="E35" s="44"/>
      <c r="F35" s="44"/>
      <c r="G35" s="38"/>
      <c r="H35" s="53"/>
      <c r="I35" s="44"/>
      <c r="J35" s="39"/>
      <c r="K35" s="39"/>
      <c r="L35" s="39"/>
      <c r="M35" s="39"/>
      <c r="N35" s="40"/>
      <c r="O35" s="40"/>
      <c r="P35" s="36"/>
      <c r="Q35" s="36"/>
      <c r="R35" s="36"/>
      <c r="S35" s="36"/>
      <c r="T35" s="36"/>
      <c r="U35" s="36"/>
      <c r="V35" s="36"/>
      <c r="W35" s="36"/>
      <c r="X35" s="42"/>
    </row>
    <row r="36" ht="21.75" customHeight="1">
      <c r="A36" s="1"/>
      <c r="B36" s="12">
        <v>10.0</v>
      </c>
      <c r="C36" s="54" t="s">
        <v>63</v>
      </c>
      <c r="D36" s="57">
        <v>46024.0</v>
      </c>
      <c r="E36" s="57">
        <v>46028.0</v>
      </c>
      <c r="F36" s="57">
        <v>46031.0</v>
      </c>
      <c r="G36" s="33"/>
      <c r="H36" s="33"/>
      <c r="I36" s="33"/>
      <c r="J36" s="33"/>
      <c r="K36" s="33"/>
      <c r="L36" s="33"/>
      <c r="M36" s="39"/>
      <c r="N36" s="40"/>
      <c r="O36" s="40"/>
      <c r="P36" s="36"/>
      <c r="Q36" s="36"/>
      <c r="R36" s="36"/>
      <c r="S36" s="36"/>
      <c r="T36" s="36"/>
      <c r="U36" s="36"/>
      <c r="V36" s="36"/>
      <c r="W36" s="36"/>
      <c r="X36" s="42"/>
    </row>
    <row r="37" ht="21.75" customHeight="1">
      <c r="A37" s="1"/>
      <c r="B37" s="22"/>
      <c r="C37" s="37" t="s">
        <v>29</v>
      </c>
      <c r="D37" s="51">
        <v>1.5</v>
      </c>
      <c r="E37" s="51">
        <v>1.5</v>
      </c>
      <c r="F37" s="51">
        <v>1.5</v>
      </c>
      <c r="G37" s="50"/>
      <c r="H37" s="44"/>
      <c r="I37" s="44"/>
      <c r="J37" s="39"/>
      <c r="K37" s="39"/>
      <c r="L37" s="39"/>
      <c r="M37" s="39"/>
      <c r="N37" s="40"/>
      <c r="O37" s="40"/>
      <c r="P37" s="36"/>
      <c r="Q37" s="36"/>
      <c r="R37" s="36"/>
      <c r="S37" s="36"/>
      <c r="T37" s="36"/>
      <c r="U37" s="36"/>
      <c r="V37" s="36"/>
      <c r="W37" s="41">
        <v>4.5</v>
      </c>
      <c r="X37" s="42">
        <f>W37*30000</f>
        <v>135000</v>
      </c>
    </row>
    <row r="38" ht="32.25" customHeight="1">
      <c r="A38" s="1"/>
      <c r="B38" s="28"/>
      <c r="C38" s="37" t="s">
        <v>30</v>
      </c>
      <c r="D38" s="45"/>
      <c r="E38" s="51"/>
      <c r="F38" s="50"/>
      <c r="G38" s="50"/>
      <c r="H38" s="44"/>
      <c r="I38" s="44"/>
      <c r="J38" s="39"/>
      <c r="K38" s="39"/>
      <c r="L38" s="39"/>
      <c r="M38" s="39"/>
      <c r="N38" s="40"/>
      <c r="O38" s="40"/>
      <c r="P38" s="36"/>
      <c r="Q38" s="36"/>
      <c r="R38" s="36"/>
      <c r="S38" s="36"/>
      <c r="T38" s="36"/>
      <c r="U38" s="36"/>
      <c r="V38" s="36"/>
      <c r="W38" s="36"/>
      <c r="X38" s="42"/>
    </row>
    <row r="39" ht="27.0" customHeight="1">
      <c r="A39" s="1"/>
      <c r="B39" s="12">
        <v>11.0</v>
      </c>
      <c r="C39" s="54" t="s">
        <v>44</v>
      </c>
      <c r="D39" s="57">
        <v>46038.0</v>
      </c>
      <c r="E39" s="57">
        <v>46042.0</v>
      </c>
      <c r="F39" s="57">
        <v>46045.0</v>
      </c>
      <c r="G39" s="57">
        <v>46049.0</v>
      </c>
      <c r="H39" s="57">
        <v>46052.0</v>
      </c>
      <c r="I39" s="33"/>
      <c r="J39" s="33"/>
      <c r="K39" s="39"/>
      <c r="L39" s="39"/>
      <c r="M39" s="39"/>
      <c r="N39" s="40"/>
      <c r="O39" s="40"/>
      <c r="P39" s="36"/>
      <c r="Q39" s="36"/>
      <c r="R39" s="36"/>
      <c r="S39" s="36"/>
      <c r="T39" s="36"/>
      <c r="U39" s="36"/>
      <c r="V39" s="36"/>
      <c r="W39" s="36"/>
      <c r="X39" s="42"/>
    </row>
    <row r="40" ht="27.0" customHeight="1">
      <c r="A40" s="1"/>
      <c r="B40" s="22"/>
      <c r="C40" s="37" t="s">
        <v>29</v>
      </c>
      <c r="D40" s="38">
        <v>1.0</v>
      </c>
      <c r="E40" s="38">
        <v>1.0</v>
      </c>
      <c r="F40" s="44">
        <v>1.0</v>
      </c>
      <c r="G40" s="44">
        <v>1.0</v>
      </c>
      <c r="H40" s="44">
        <v>1.0</v>
      </c>
      <c r="I40" s="44"/>
      <c r="J40" s="39"/>
      <c r="K40" s="39"/>
      <c r="L40" s="39"/>
      <c r="M40" s="39"/>
      <c r="N40" s="40"/>
      <c r="O40" s="40"/>
      <c r="P40" s="36"/>
      <c r="Q40" s="36"/>
      <c r="R40" s="36"/>
      <c r="S40" s="36"/>
      <c r="T40" s="36"/>
      <c r="U40" s="36"/>
      <c r="V40" s="36"/>
      <c r="W40" s="41">
        <v>5.0</v>
      </c>
      <c r="X40" s="42">
        <f>W40*30000</f>
        <v>150000</v>
      </c>
    </row>
    <row r="41" ht="27.0" customHeight="1">
      <c r="A41" s="1"/>
      <c r="B41" s="28"/>
      <c r="C41" s="37" t="s">
        <v>30</v>
      </c>
      <c r="D41" s="45"/>
      <c r="E41" s="50"/>
      <c r="F41" s="50"/>
      <c r="G41" s="50"/>
      <c r="H41" s="44"/>
      <c r="I41" s="44"/>
      <c r="J41" s="39"/>
      <c r="K41" s="39"/>
      <c r="L41" s="39"/>
      <c r="M41" s="39"/>
      <c r="N41" s="40"/>
      <c r="O41" s="40"/>
      <c r="P41" s="36"/>
      <c r="Q41" s="36"/>
      <c r="R41" s="36"/>
      <c r="S41" s="36"/>
      <c r="T41" s="36"/>
      <c r="U41" s="36"/>
      <c r="V41" s="36"/>
      <c r="W41" s="36"/>
      <c r="X41" s="42"/>
    </row>
    <row r="42" ht="27.0" customHeight="1">
      <c r="A42" s="1"/>
      <c r="B42" s="12">
        <v>12.0</v>
      </c>
      <c r="C42" s="54"/>
      <c r="D42" s="57"/>
      <c r="E42" s="57"/>
      <c r="F42" s="33"/>
      <c r="G42" s="33"/>
      <c r="H42" s="33"/>
      <c r="I42" s="33"/>
      <c r="J42" s="33"/>
      <c r="K42" s="33"/>
      <c r="L42" s="33"/>
      <c r="M42" s="39"/>
      <c r="N42" s="40"/>
      <c r="O42" s="40"/>
      <c r="P42" s="36"/>
      <c r="Q42" s="36"/>
      <c r="R42" s="36"/>
      <c r="S42" s="36"/>
      <c r="T42" s="36"/>
      <c r="U42" s="36"/>
      <c r="V42" s="36"/>
      <c r="W42" s="36"/>
      <c r="X42" s="42"/>
    </row>
    <row r="43" ht="27.0" customHeight="1">
      <c r="A43" s="1"/>
      <c r="B43" s="22"/>
      <c r="C43" s="37"/>
      <c r="D43" s="51"/>
      <c r="E43" s="51"/>
      <c r="F43" s="50"/>
      <c r="G43" s="50"/>
      <c r="H43" s="44"/>
      <c r="I43" s="44"/>
      <c r="J43" s="39"/>
      <c r="K43" s="39"/>
      <c r="L43" s="39"/>
      <c r="M43" s="39"/>
      <c r="N43" s="40"/>
      <c r="O43" s="40"/>
      <c r="P43" s="36"/>
      <c r="Q43" s="36"/>
      <c r="R43" s="36"/>
      <c r="S43" s="36"/>
      <c r="T43" s="36"/>
      <c r="U43" s="36"/>
      <c r="V43" s="36"/>
      <c r="W43" s="36"/>
      <c r="X43" s="42"/>
    </row>
    <row r="44" ht="27.0" customHeight="1">
      <c r="A44" s="1"/>
      <c r="B44" s="28"/>
      <c r="C44" s="37"/>
      <c r="D44" s="45"/>
      <c r="E44" s="50"/>
      <c r="F44" s="50"/>
      <c r="G44" s="50"/>
      <c r="H44" s="44"/>
      <c r="I44" s="44"/>
      <c r="J44" s="39"/>
      <c r="K44" s="39"/>
      <c r="L44" s="39"/>
      <c r="M44" s="39"/>
      <c r="N44" s="40"/>
      <c r="O44" s="40"/>
      <c r="P44" s="36"/>
      <c r="Q44" s="36"/>
      <c r="R44" s="36"/>
      <c r="S44" s="36"/>
      <c r="T44" s="36"/>
      <c r="U44" s="36"/>
      <c r="V44" s="36"/>
      <c r="W44" s="36"/>
      <c r="X44" s="42"/>
    </row>
    <row r="45" ht="27.0" customHeight="1">
      <c r="A45" s="1"/>
      <c r="B45" s="12">
        <v>13.0</v>
      </c>
      <c r="C45" s="54"/>
      <c r="D45" s="45"/>
      <c r="E45" s="45"/>
      <c r="F45" s="50"/>
      <c r="G45" s="50"/>
      <c r="H45" s="44"/>
      <c r="I45" s="44"/>
      <c r="J45" s="39"/>
      <c r="K45" s="39"/>
      <c r="L45" s="39"/>
      <c r="M45" s="39"/>
      <c r="N45" s="40"/>
      <c r="O45" s="40"/>
      <c r="P45" s="36"/>
      <c r="Q45" s="36"/>
      <c r="R45" s="36"/>
      <c r="S45" s="36"/>
      <c r="T45" s="36"/>
      <c r="U45" s="36"/>
      <c r="V45" s="36"/>
      <c r="W45" s="36"/>
      <c r="X45" s="42"/>
    </row>
    <row r="46" ht="32.25" customHeight="1">
      <c r="A46" s="1"/>
      <c r="B46" s="22"/>
      <c r="C46" s="37"/>
      <c r="D46" s="38"/>
      <c r="E46" s="38"/>
      <c r="F46" s="44"/>
      <c r="G46" s="44"/>
      <c r="H46" s="44"/>
      <c r="I46" s="44"/>
      <c r="J46" s="39"/>
      <c r="K46" s="39"/>
      <c r="L46" s="39"/>
      <c r="M46" s="39"/>
      <c r="N46" s="40"/>
      <c r="O46" s="40"/>
      <c r="P46" s="36"/>
      <c r="Q46" s="36"/>
      <c r="R46" s="36"/>
      <c r="S46" s="36"/>
      <c r="T46" s="36"/>
      <c r="U46" s="36"/>
      <c r="V46" s="36"/>
      <c r="W46" s="36"/>
      <c r="X46" s="27">
        <v>0.0</v>
      </c>
    </row>
    <row r="47" ht="32.25" customHeight="1">
      <c r="A47" s="7"/>
      <c r="B47" s="28"/>
      <c r="C47" s="37"/>
      <c r="D47" s="66"/>
      <c r="E47" s="44"/>
      <c r="F47" s="44"/>
      <c r="G47" s="44"/>
      <c r="H47" s="44"/>
      <c r="I47" s="44"/>
      <c r="J47" s="39"/>
      <c r="K47" s="39"/>
      <c r="L47" s="39"/>
      <c r="M47" s="39"/>
      <c r="N47" s="40"/>
      <c r="O47" s="40"/>
      <c r="P47" s="36"/>
      <c r="Q47" s="36"/>
      <c r="R47" s="36"/>
      <c r="S47" s="36"/>
      <c r="T47" s="36"/>
      <c r="U47" s="36"/>
      <c r="V47" s="36"/>
      <c r="W47" s="36"/>
      <c r="X47" s="42"/>
    </row>
    <row r="48">
      <c r="A48" s="1"/>
      <c r="B48" s="30" t="s">
        <v>46</v>
      </c>
      <c r="C48" s="6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T48" s="39"/>
      <c r="U48" s="39"/>
      <c r="V48" s="39"/>
      <c r="W48" s="39"/>
      <c r="X48" s="68">
        <f>SUM(X10:X47)</f>
        <v>3332500</v>
      </c>
    </row>
    <row r="49">
      <c r="A49" s="1"/>
      <c r="B49" s="30" t="s">
        <v>47</v>
      </c>
      <c r="C49" s="6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  <c r="T49" s="39"/>
      <c r="U49" s="39"/>
      <c r="V49" s="39"/>
      <c r="W49" s="39"/>
      <c r="X49" s="68">
        <f>X48-(X48*0.033)</f>
        <v>3222527.5</v>
      </c>
    </row>
    <row r="50">
      <c r="B50" s="40"/>
      <c r="C50" s="48"/>
      <c r="D50" s="40"/>
      <c r="E50" s="40"/>
      <c r="F50" s="40"/>
      <c r="G50" s="40"/>
      <c r="H50" s="48"/>
      <c r="I50" s="48"/>
      <c r="J50" s="48"/>
      <c r="K50" s="48"/>
      <c r="L50" s="40"/>
      <c r="M50" s="40"/>
      <c r="N50" s="40"/>
      <c r="O50" s="40"/>
      <c r="P50" s="69"/>
      <c r="Q50" s="69"/>
      <c r="R50" s="69"/>
      <c r="S50" s="69"/>
      <c r="T50" s="69"/>
      <c r="U50" s="69"/>
      <c r="V50" s="69"/>
      <c r="W50" s="69"/>
      <c r="X50" s="40"/>
    </row>
    <row r="51">
      <c r="C51" s="61"/>
      <c r="H51" s="61"/>
      <c r="I51" s="61"/>
      <c r="J51" s="61"/>
      <c r="K51" s="61"/>
    </row>
    <row r="52">
      <c r="C52" s="61"/>
      <c r="H52" s="61"/>
      <c r="I52" s="61"/>
      <c r="J52" s="61"/>
      <c r="K52" s="61"/>
    </row>
    <row r="53">
      <c r="C53" s="61"/>
      <c r="H53" s="61"/>
      <c r="I53" s="61"/>
      <c r="J53" s="61"/>
      <c r="K53" s="61"/>
    </row>
    <row r="54">
      <c r="C54" s="61"/>
      <c r="H54" s="61"/>
      <c r="I54" s="61"/>
      <c r="J54" s="61"/>
      <c r="K54" s="61"/>
    </row>
    <row r="55">
      <c r="C55" s="61"/>
      <c r="H55" s="61"/>
      <c r="I55" s="61"/>
      <c r="J55" s="61"/>
      <c r="K55" s="61"/>
    </row>
    <row r="56">
      <c r="C56" s="61"/>
      <c r="H56" s="61"/>
      <c r="I56" s="61"/>
      <c r="J56" s="61"/>
      <c r="K56" s="61"/>
    </row>
    <row r="57">
      <c r="C57" s="61"/>
      <c r="H57" s="61"/>
      <c r="I57" s="61"/>
      <c r="J57" s="61"/>
      <c r="K57" s="61"/>
    </row>
    <row r="58">
      <c r="C58" s="61"/>
      <c r="H58" s="61"/>
      <c r="I58" s="61"/>
      <c r="J58" s="61"/>
      <c r="K58" s="61"/>
    </row>
    <row r="59">
      <c r="C59" s="61"/>
      <c r="H59" s="61"/>
      <c r="I59" s="61"/>
      <c r="J59" s="61"/>
      <c r="K59" s="61"/>
    </row>
    <row r="60">
      <c r="C60" s="61"/>
      <c r="H60" s="61"/>
      <c r="I60" s="61"/>
      <c r="J60" s="61"/>
      <c r="K60" s="61"/>
    </row>
    <row r="61">
      <c r="C61" s="61"/>
      <c r="H61" s="61"/>
      <c r="I61" s="61"/>
      <c r="J61" s="61"/>
      <c r="K61" s="61"/>
    </row>
    <row r="62">
      <c r="C62" s="61"/>
      <c r="H62" s="61"/>
      <c r="I62" s="61"/>
      <c r="J62" s="61"/>
      <c r="K62" s="61"/>
    </row>
    <row r="63">
      <c r="C63" s="61"/>
      <c r="H63" s="61"/>
      <c r="I63" s="61"/>
      <c r="J63" s="61"/>
      <c r="K63" s="61"/>
    </row>
    <row r="64">
      <c r="C64" s="61"/>
      <c r="H64" s="61"/>
      <c r="I64" s="61"/>
      <c r="J64" s="61"/>
      <c r="K64" s="61"/>
    </row>
    <row r="65">
      <c r="C65" s="61"/>
      <c r="H65" s="61"/>
      <c r="I65" s="61"/>
      <c r="J65" s="61"/>
      <c r="K65" s="61"/>
    </row>
    <row r="66">
      <c r="C66" s="61"/>
      <c r="H66" s="61"/>
      <c r="I66" s="61"/>
      <c r="J66" s="61"/>
      <c r="K66" s="61"/>
    </row>
    <row r="67">
      <c r="C67" s="61"/>
      <c r="H67" s="61"/>
      <c r="I67" s="61"/>
      <c r="J67" s="61"/>
      <c r="K67" s="61"/>
    </row>
    <row r="68">
      <c r="C68" s="61"/>
      <c r="H68" s="61"/>
      <c r="I68" s="61"/>
      <c r="J68" s="61"/>
      <c r="K68" s="61"/>
    </row>
    <row r="69">
      <c r="C69" s="61"/>
      <c r="H69" s="61"/>
      <c r="I69" s="61"/>
      <c r="J69" s="61"/>
      <c r="K69" s="61"/>
    </row>
    <row r="70">
      <c r="C70" s="61"/>
      <c r="H70" s="61"/>
      <c r="I70" s="61"/>
      <c r="J70" s="61"/>
      <c r="K70" s="61"/>
    </row>
    <row r="71">
      <c r="C71" s="61"/>
      <c r="H71" s="61"/>
      <c r="I71" s="61"/>
      <c r="J71" s="61"/>
      <c r="K71" s="61"/>
    </row>
    <row r="72">
      <c r="C72" s="61"/>
      <c r="H72" s="61"/>
      <c r="I72" s="61"/>
      <c r="J72" s="61"/>
      <c r="K72" s="61"/>
    </row>
    <row r="73">
      <c r="C73" s="61"/>
      <c r="H73" s="61"/>
      <c r="I73" s="61"/>
      <c r="J73" s="61"/>
      <c r="K73" s="61"/>
    </row>
    <row r="74">
      <c r="C74" s="61"/>
      <c r="H74" s="61"/>
      <c r="I74" s="61"/>
      <c r="J74" s="61"/>
      <c r="K74" s="61"/>
    </row>
    <row r="75">
      <c r="C75" s="61"/>
      <c r="H75" s="61"/>
      <c r="I75" s="61"/>
      <c r="J75" s="61"/>
      <c r="K75" s="61"/>
    </row>
    <row r="76">
      <c r="C76" s="61"/>
      <c r="H76" s="61"/>
      <c r="I76" s="61"/>
      <c r="J76" s="61"/>
      <c r="K76" s="61"/>
    </row>
    <row r="77">
      <c r="C77" s="61"/>
      <c r="H77" s="61"/>
      <c r="I77" s="61"/>
      <c r="J77" s="61"/>
      <c r="K77" s="61"/>
    </row>
    <row r="78">
      <c r="C78" s="61"/>
      <c r="H78" s="61"/>
      <c r="I78" s="61"/>
      <c r="J78" s="61"/>
      <c r="K78" s="61"/>
    </row>
    <row r="79">
      <c r="C79" s="61"/>
      <c r="H79" s="61"/>
      <c r="I79" s="61"/>
      <c r="J79" s="61"/>
      <c r="K79" s="61"/>
    </row>
    <row r="80">
      <c r="C80" s="61"/>
      <c r="H80" s="61"/>
      <c r="I80" s="61"/>
      <c r="J80" s="61"/>
      <c r="K80" s="61"/>
    </row>
    <row r="81">
      <c r="C81" s="61"/>
      <c r="H81" s="61"/>
      <c r="I81" s="61"/>
      <c r="J81" s="61"/>
      <c r="K81" s="61"/>
    </row>
    <row r="82">
      <c r="C82" s="61"/>
      <c r="H82" s="61"/>
      <c r="I82" s="61"/>
      <c r="J82" s="61"/>
      <c r="K82" s="61"/>
    </row>
    <row r="83">
      <c r="C83" s="61"/>
      <c r="H83" s="61"/>
      <c r="I83" s="61"/>
      <c r="J83" s="61"/>
      <c r="K83" s="61"/>
    </row>
    <row r="84">
      <c r="C84" s="61"/>
      <c r="H84" s="61"/>
      <c r="I84" s="61"/>
      <c r="J84" s="61"/>
      <c r="K84" s="61"/>
    </row>
    <row r="85">
      <c r="C85" s="61"/>
      <c r="H85" s="61"/>
      <c r="I85" s="61"/>
      <c r="J85" s="61"/>
      <c r="K85" s="61"/>
    </row>
    <row r="86">
      <c r="C86" s="61"/>
      <c r="H86" s="61"/>
      <c r="I86" s="61"/>
      <c r="J86" s="61"/>
      <c r="K86" s="61"/>
    </row>
    <row r="87">
      <c r="C87" s="61"/>
      <c r="H87" s="61"/>
      <c r="I87" s="61"/>
      <c r="J87" s="61"/>
      <c r="K87" s="61"/>
    </row>
    <row r="88">
      <c r="C88" s="61"/>
      <c r="H88" s="61"/>
      <c r="I88" s="61"/>
      <c r="J88" s="61"/>
      <c r="K88" s="61"/>
    </row>
    <row r="89">
      <c r="C89" s="61"/>
      <c r="H89" s="61"/>
      <c r="I89" s="61"/>
      <c r="J89" s="61"/>
      <c r="K89" s="61"/>
    </row>
    <row r="90">
      <c r="C90" s="61"/>
      <c r="H90" s="61"/>
      <c r="I90" s="61"/>
      <c r="J90" s="61"/>
      <c r="K90" s="61"/>
    </row>
    <row r="91">
      <c r="C91" s="61"/>
      <c r="H91" s="61"/>
      <c r="I91" s="61"/>
      <c r="J91" s="61"/>
      <c r="K91" s="61"/>
    </row>
    <row r="92">
      <c r="C92" s="61"/>
      <c r="H92" s="61"/>
      <c r="I92" s="61"/>
      <c r="J92" s="61"/>
      <c r="K92" s="61"/>
    </row>
    <row r="93">
      <c r="C93" s="61"/>
      <c r="H93" s="61"/>
      <c r="I93" s="61"/>
      <c r="J93" s="61"/>
      <c r="K93" s="61"/>
    </row>
    <row r="94">
      <c r="C94" s="61"/>
      <c r="H94" s="61"/>
      <c r="I94" s="61"/>
      <c r="J94" s="61"/>
      <c r="K94" s="61"/>
    </row>
    <row r="95">
      <c r="C95" s="61"/>
      <c r="H95" s="61"/>
      <c r="I95" s="61"/>
      <c r="J95" s="61"/>
      <c r="K95" s="61"/>
    </row>
    <row r="96">
      <c r="C96" s="61"/>
      <c r="H96" s="61"/>
      <c r="I96" s="61"/>
      <c r="J96" s="61"/>
      <c r="K96" s="61"/>
    </row>
    <row r="97">
      <c r="C97" s="61"/>
      <c r="H97" s="61"/>
      <c r="I97" s="61"/>
      <c r="J97" s="61"/>
      <c r="K97" s="61"/>
    </row>
    <row r="98">
      <c r="C98" s="61"/>
      <c r="H98" s="61"/>
      <c r="I98" s="61"/>
      <c r="J98" s="61"/>
      <c r="K98" s="61"/>
    </row>
    <row r="99">
      <c r="C99" s="61"/>
      <c r="H99" s="61"/>
      <c r="I99" s="61"/>
      <c r="J99" s="61"/>
      <c r="K99" s="61"/>
    </row>
    <row r="100">
      <c r="C100" s="61"/>
      <c r="H100" s="61"/>
      <c r="I100" s="61"/>
      <c r="J100" s="61"/>
      <c r="K100" s="61"/>
    </row>
    <row r="101">
      <c r="C101" s="61"/>
      <c r="H101" s="61"/>
      <c r="I101" s="61"/>
      <c r="J101" s="61"/>
      <c r="K101" s="61"/>
    </row>
    <row r="102">
      <c r="C102" s="61"/>
      <c r="H102" s="61"/>
      <c r="I102" s="61"/>
      <c r="J102" s="61"/>
      <c r="K102" s="61"/>
    </row>
    <row r="103">
      <c r="C103" s="61"/>
      <c r="H103" s="61"/>
      <c r="I103" s="61"/>
      <c r="J103" s="61"/>
      <c r="K103" s="61"/>
    </row>
    <row r="104">
      <c r="C104" s="61"/>
      <c r="H104" s="61"/>
      <c r="I104" s="61"/>
      <c r="J104" s="61"/>
      <c r="K104" s="61"/>
    </row>
    <row r="105">
      <c r="C105" s="61"/>
      <c r="H105" s="61"/>
      <c r="I105" s="61"/>
      <c r="J105" s="61"/>
      <c r="K105" s="61"/>
    </row>
    <row r="106">
      <c r="C106" s="61"/>
      <c r="H106" s="61"/>
      <c r="I106" s="61"/>
      <c r="J106" s="61"/>
      <c r="K106" s="61"/>
    </row>
    <row r="107">
      <c r="C107" s="61"/>
      <c r="H107" s="61"/>
      <c r="I107" s="61"/>
      <c r="J107" s="61"/>
      <c r="K107" s="61"/>
    </row>
    <row r="108">
      <c r="C108" s="61"/>
      <c r="H108" s="61"/>
      <c r="I108" s="61"/>
      <c r="J108" s="61"/>
      <c r="K108" s="61"/>
    </row>
    <row r="109">
      <c r="C109" s="61"/>
      <c r="H109" s="61"/>
      <c r="I109" s="61"/>
      <c r="J109" s="61"/>
      <c r="K109" s="61"/>
    </row>
    <row r="110">
      <c r="C110" s="61"/>
      <c r="H110" s="61"/>
      <c r="I110" s="61"/>
      <c r="J110" s="61"/>
      <c r="K110" s="61"/>
    </row>
    <row r="111">
      <c r="C111" s="61"/>
      <c r="H111" s="61"/>
      <c r="I111" s="61"/>
      <c r="J111" s="61"/>
      <c r="K111" s="61"/>
    </row>
    <row r="112">
      <c r="C112" s="61"/>
      <c r="H112" s="61"/>
      <c r="I112" s="61"/>
      <c r="J112" s="61"/>
      <c r="K112" s="61"/>
    </row>
    <row r="113">
      <c r="C113" s="61"/>
      <c r="H113" s="61"/>
      <c r="I113" s="61"/>
      <c r="J113" s="61"/>
      <c r="K113" s="61"/>
    </row>
    <row r="114">
      <c r="C114" s="61"/>
      <c r="H114" s="61"/>
      <c r="I114" s="61"/>
      <c r="J114" s="61"/>
      <c r="K114" s="61"/>
    </row>
    <row r="115">
      <c r="C115" s="61"/>
      <c r="H115" s="61"/>
      <c r="I115" s="61"/>
      <c r="J115" s="61"/>
      <c r="K115" s="61"/>
    </row>
    <row r="116">
      <c r="C116" s="61"/>
      <c r="H116" s="61"/>
      <c r="I116" s="61"/>
      <c r="J116" s="61"/>
      <c r="K116" s="61"/>
    </row>
    <row r="117">
      <c r="C117" s="61"/>
      <c r="H117" s="61"/>
      <c r="I117" s="61"/>
      <c r="J117" s="61"/>
      <c r="K117" s="61"/>
    </row>
    <row r="118">
      <c r="C118" s="61"/>
      <c r="H118" s="61"/>
      <c r="I118" s="61"/>
      <c r="J118" s="61"/>
      <c r="K118" s="61"/>
    </row>
    <row r="119">
      <c r="C119" s="61"/>
      <c r="H119" s="61"/>
      <c r="I119" s="61"/>
      <c r="J119" s="61"/>
      <c r="K119" s="61"/>
    </row>
    <row r="120">
      <c r="C120" s="61"/>
      <c r="H120" s="61"/>
      <c r="I120" s="61"/>
      <c r="J120" s="61"/>
      <c r="K120" s="61"/>
    </row>
    <row r="121">
      <c r="C121" s="61"/>
      <c r="H121" s="61"/>
      <c r="I121" s="61"/>
      <c r="J121" s="61"/>
      <c r="K121" s="61"/>
    </row>
    <row r="122">
      <c r="C122" s="61"/>
      <c r="H122" s="61"/>
      <c r="I122" s="61"/>
      <c r="J122" s="61"/>
      <c r="K122" s="61"/>
    </row>
    <row r="123">
      <c r="C123" s="61"/>
      <c r="H123" s="61"/>
      <c r="I123" s="61"/>
      <c r="J123" s="61"/>
      <c r="K123" s="61"/>
    </row>
    <row r="124">
      <c r="C124" s="61"/>
      <c r="H124" s="61"/>
      <c r="I124" s="61"/>
      <c r="J124" s="61"/>
      <c r="K124" s="61"/>
    </row>
    <row r="125">
      <c r="C125" s="61"/>
      <c r="H125" s="61"/>
      <c r="I125" s="61"/>
      <c r="J125" s="61"/>
      <c r="K125" s="61"/>
    </row>
    <row r="126">
      <c r="C126" s="61"/>
      <c r="H126" s="61"/>
      <c r="I126" s="61"/>
      <c r="J126" s="61"/>
      <c r="K126" s="61"/>
    </row>
    <row r="127">
      <c r="C127" s="61"/>
      <c r="H127" s="61"/>
      <c r="I127" s="61"/>
      <c r="J127" s="61"/>
      <c r="K127" s="61"/>
    </row>
    <row r="128">
      <c r="C128" s="61"/>
      <c r="H128" s="61"/>
      <c r="I128" s="61"/>
      <c r="J128" s="61"/>
      <c r="K128" s="61"/>
    </row>
    <row r="129">
      <c r="C129" s="61"/>
      <c r="H129" s="61"/>
      <c r="I129" s="61"/>
      <c r="J129" s="61"/>
      <c r="K129" s="61"/>
    </row>
    <row r="130">
      <c r="C130" s="61"/>
      <c r="H130" s="61"/>
      <c r="I130" s="61"/>
      <c r="J130" s="61"/>
      <c r="K130" s="61"/>
    </row>
    <row r="131">
      <c r="C131" s="61"/>
      <c r="H131" s="61"/>
      <c r="I131" s="61"/>
      <c r="J131" s="61"/>
      <c r="K131" s="61"/>
    </row>
    <row r="132">
      <c r="C132" s="61"/>
      <c r="H132" s="61"/>
      <c r="I132" s="61"/>
      <c r="J132" s="61"/>
      <c r="K132" s="61"/>
    </row>
    <row r="133">
      <c r="C133" s="61"/>
      <c r="H133" s="61"/>
      <c r="I133" s="61"/>
      <c r="J133" s="61"/>
      <c r="K133" s="61"/>
    </row>
    <row r="134">
      <c r="C134" s="61"/>
      <c r="H134" s="61"/>
      <c r="I134" s="61"/>
      <c r="J134" s="61"/>
      <c r="K134" s="61"/>
    </row>
    <row r="135">
      <c r="C135" s="61"/>
      <c r="H135" s="61"/>
      <c r="I135" s="61"/>
      <c r="J135" s="61"/>
      <c r="K135" s="61"/>
    </row>
    <row r="136">
      <c r="C136" s="61"/>
      <c r="H136" s="61"/>
      <c r="I136" s="61"/>
      <c r="J136" s="61"/>
      <c r="K136" s="61"/>
    </row>
    <row r="137">
      <c r="C137" s="61"/>
      <c r="H137" s="61"/>
      <c r="I137" s="61"/>
      <c r="J137" s="61"/>
      <c r="K137" s="61"/>
    </row>
    <row r="138">
      <c r="C138" s="61"/>
      <c r="H138" s="61"/>
      <c r="I138" s="61"/>
      <c r="J138" s="61"/>
      <c r="K138" s="61"/>
    </row>
    <row r="139">
      <c r="C139" s="61"/>
      <c r="H139" s="61"/>
      <c r="I139" s="61"/>
      <c r="J139" s="61"/>
      <c r="K139" s="61"/>
    </row>
    <row r="140">
      <c r="C140" s="61"/>
      <c r="H140" s="61"/>
      <c r="I140" s="61"/>
      <c r="J140" s="61"/>
      <c r="K140" s="61"/>
    </row>
    <row r="141">
      <c r="C141" s="61"/>
      <c r="H141" s="61"/>
      <c r="I141" s="61"/>
      <c r="J141" s="61"/>
      <c r="K141" s="61"/>
    </row>
    <row r="142">
      <c r="C142" s="61"/>
      <c r="H142" s="61"/>
      <c r="I142" s="61"/>
      <c r="J142" s="61"/>
      <c r="K142" s="61"/>
    </row>
    <row r="143">
      <c r="C143" s="61"/>
      <c r="H143" s="61"/>
      <c r="I143" s="61"/>
      <c r="J143" s="61"/>
      <c r="K143" s="61"/>
    </row>
    <row r="144">
      <c r="C144" s="61"/>
      <c r="H144" s="61"/>
      <c r="I144" s="61"/>
      <c r="J144" s="61"/>
      <c r="K144" s="61"/>
    </row>
    <row r="145">
      <c r="C145" s="61"/>
      <c r="H145" s="61"/>
      <c r="I145" s="61"/>
      <c r="J145" s="61"/>
      <c r="K145" s="61"/>
    </row>
    <row r="146">
      <c r="C146" s="61"/>
      <c r="H146" s="61"/>
      <c r="I146" s="61"/>
      <c r="J146" s="61"/>
      <c r="K146" s="61"/>
    </row>
    <row r="147">
      <c r="C147" s="61"/>
      <c r="H147" s="61"/>
      <c r="I147" s="61"/>
      <c r="J147" s="61"/>
      <c r="K147" s="61"/>
    </row>
    <row r="148">
      <c r="C148" s="61"/>
      <c r="H148" s="61"/>
      <c r="I148" s="61"/>
      <c r="J148" s="61"/>
      <c r="K148" s="61"/>
    </row>
    <row r="149">
      <c r="C149" s="61"/>
      <c r="H149" s="61"/>
      <c r="I149" s="61"/>
      <c r="J149" s="61"/>
      <c r="K149" s="61"/>
    </row>
    <row r="150">
      <c r="C150" s="61"/>
      <c r="H150" s="61"/>
      <c r="I150" s="61"/>
      <c r="J150" s="61"/>
      <c r="K150" s="61"/>
    </row>
    <row r="151">
      <c r="C151" s="61"/>
      <c r="H151" s="61"/>
      <c r="I151" s="61"/>
      <c r="J151" s="61"/>
      <c r="K151" s="61"/>
    </row>
    <row r="152">
      <c r="C152" s="61"/>
      <c r="H152" s="61"/>
      <c r="I152" s="61"/>
      <c r="J152" s="61"/>
      <c r="K152" s="61"/>
    </row>
    <row r="153">
      <c r="C153" s="61"/>
      <c r="H153" s="61"/>
      <c r="I153" s="61"/>
      <c r="J153" s="61"/>
      <c r="K153" s="61"/>
    </row>
    <row r="154">
      <c r="C154" s="61"/>
      <c r="H154" s="61"/>
      <c r="I154" s="61"/>
      <c r="J154" s="61"/>
      <c r="K154" s="61"/>
    </row>
    <row r="155">
      <c r="C155" s="61"/>
      <c r="H155" s="61"/>
      <c r="I155" s="61"/>
      <c r="J155" s="61"/>
      <c r="K155" s="61"/>
    </row>
    <row r="156">
      <c r="C156" s="61"/>
      <c r="H156" s="61"/>
      <c r="I156" s="61"/>
      <c r="J156" s="61"/>
      <c r="K156" s="61"/>
    </row>
    <row r="157">
      <c r="C157" s="61"/>
      <c r="H157" s="61"/>
      <c r="I157" s="61"/>
      <c r="J157" s="61"/>
      <c r="K157" s="61"/>
    </row>
    <row r="158">
      <c r="C158" s="61"/>
      <c r="H158" s="61"/>
      <c r="I158" s="61"/>
      <c r="J158" s="61"/>
      <c r="K158" s="61"/>
    </row>
    <row r="159">
      <c r="C159" s="61"/>
      <c r="H159" s="61"/>
      <c r="I159" s="61"/>
      <c r="J159" s="61"/>
      <c r="K159" s="61"/>
    </row>
    <row r="160">
      <c r="C160" s="61"/>
      <c r="H160" s="61"/>
      <c r="I160" s="61"/>
      <c r="J160" s="61"/>
      <c r="K160" s="61"/>
    </row>
    <row r="161">
      <c r="C161" s="61"/>
      <c r="H161" s="61"/>
      <c r="I161" s="61"/>
      <c r="J161" s="61"/>
      <c r="K161" s="61"/>
    </row>
    <row r="162">
      <c r="C162" s="61"/>
      <c r="H162" s="61"/>
      <c r="I162" s="61"/>
      <c r="J162" s="61"/>
      <c r="K162" s="61"/>
    </row>
    <row r="163">
      <c r="C163" s="61"/>
      <c r="H163" s="61"/>
      <c r="I163" s="61"/>
      <c r="J163" s="61"/>
      <c r="K163" s="61"/>
    </row>
    <row r="164">
      <c r="C164" s="61"/>
      <c r="H164" s="61"/>
      <c r="I164" s="61"/>
      <c r="J164" s="61"/>
      <c r="K164" s="61"/>
    </row>
    <row r="165">
      <c r="C165" s="61"/>
      <c r="H165" s="61"/>
      <c r="I165" s="61"/>
      <c r="J165" s="61"/>
      <c r="K165" s="61"/>
    </row>
    <row r="166">
      <c r="C166" s="61"/>
      <c r="H166" s="61"/>
      <c r="I166" s="61"/>
      <c r="J166" s="61"/>
      <c r="K166" s="61"/>
    </row>
    <row r="167">
      <c r="C167" s="61"/>
      <c r="H167" s="61"/>
      <c r="I167" s="61"/>
      <c r="J167" s="61"/>
      <c r="K167" s="61"/>
    </row>
    <row r="168">
      <c r="C168" s="61"/>
      <c r="H168" s="61"/>
      <c r="I168" s="61"/>
      <c r="J168" s="61"/>
      <c r="K168" s="61"/>
    </row>
    <row r="169">
      <c r="C169" s="61"/>
      <c r="H169" s="61"/>
      <c r="I169" s="61"/>
      <c r="J169" s="61"/>
      <c r="K169" s="61"/>
    </row>
    <row r="170">
      <c r="C170" s="61"/>
      <c r="H170" s="61"/>
      <c r="I170" s="61"/>
      <c r="J170" s="61"/>
      <c r="K170" s="61"/>
    </row>
    <row r="171">
      <c r="C171" s="61"/>
      <c r="H171" s="61"/>
      <c r="I171" s="61"/>
      <c r="J171" s="61"/>
      <c r="K171" s="61"/>
    </row>
    <row r="172">
      <c r="C172" s="61"/>
      <c r="H172" s="61"/>
      <c r="I172" s="61"/>
      <c r="J172" s="61"/>
      <c r="K172" s="61"/>
    </row>
    <row r="173">
      <c r="C173" s="61"/>
      <c r="H173" s="61"/>
      <c r="I173" s="61"/>
      <c r="J173" s="61"/>
      <c r="K173" s="61"/>
    </row>
    <row r="174">
      <c r="C174" s="61"/>
      <c r="H174" s="61"/>
      <c r="I174" s="61"/>
      <c r="J174" s="61"/>
      <c r="K174" s="61"/>
    </row>
    <row r="175">
      <c r="C175" s="61"/>
      <c r="H175" s="61"/>
      <c r="I175" s="61"/>
      <c r="J175" s="61"/>
      <c r="K175" s="61"/>
    </row>
    <row r="176">
      <c r="C176" s="61"/>
      <c r="H176" s="61"/>
      <c r="I176" s="61"/>
      <c r="J176" s="61"/>
      <c r="K176" s="61"/>
    </row>
    <row r="177">
      <c r="C177" s="61"/>
      <c r="H177" s="61"/>
      <c r="I177" s="61"/>
      <c r="J177" s="61"/>
      <c r="K177" s="61"/>
    </row>
    <row r="178">
      <c r="C178" s="61"/>
      <c r="H178" s="61"/>
      <c r="I178" s="61"/>
      <c r="J178" s="61"/>
      <c r="K178" s="61"/>
    </row>
    <row r="179">
      <c r="C179" s="61"/>
      <c r="H179" s="61"/>
      <c r="I179" s="61"/>
      <c r="J179" s="61"/>
      <c r="K179" s="61"/>
    </row>
    <row r="180">
      <c r="C180" s="61"/>
      <c r="H180" s="61"/>
      <c r="I180" s="61"/>
      <c r="J180" s="61"/>
      <c r="K180" s="61"/>
    </row>
    <row r="181">
      <c r="C181" s="61"/>
      <c r="H181" s="61"/>
      <c r="I181" s="61"/>
      <c r="J181" s="61"/>
      <c r="K181" s="61"/>
    </row>
    <row r="182">
      <c r="C182" s="61"/>
      <c r="H182" s="61"/>
      <c r="I182" s="61"/>
      <c r="J182" s="61"/>
      <c r="K182" s="61"/>
    </row>
    <row r="183">
      <c r="C183" s="61"/>
      <c r="H183" s="61"/>
      <c r="I183" s="61"/>
      <c r="J183" s="61"/>
      <c r="K183" s="61"/>
    </row>
    <row r="184">
      <c r="C184" s="61"/>
      <c r="H184" s="61"/>
      <c r="I184" s="61"/>
      <c r="J184" s="61"/>
      <c r="K184" s="61"/>
    </row>
    <row r="185">
      <c r="C185" s="61"/>
      <c r="H185" s="61"/>
      <c r="I185" s="61"/>
      <c r="J185" s="61"/>
      <c r="K185" s="61"/>
    </row>
    <row r="186">
      <c r="C186" s="61"/>
      <c r="H186" s="61"/>
      <c r="I186" s="61"/>
      <c r="J186" s="61"/>
      <c r="K186" s="61"/>
    </row>
    <row r="187">
      <c r="C187" s="61"/>
      <c r="H187" s="61"/>
      <c r="I187" s="61"/>
      <c r="J187" s="61"/>
      <c r="K187" s="61"/>
    </row>
    <row r="188">
      <c r="C188" s="61"/>
      <c r="H188" s="61"/>
      <c r="I188" s="61"/>
      <c r="J188" s="61"/>
      <c r="K188" s="61"/>
    </row>
    <row r="189">
      <c r="C189" s="61"/>
      <c r="H189" s="61"/>
      <c r="I189" s="61"/>
      <c r="J189" s="61"/>
      <c r="K189" s="61"/>
    </row>
    <row r="190">
      <c r="C190" s="61"/>
      <c r="H190" s="61"/>
      <c r="I190" s="61"/>
      <c r="J190" s="61"/>
      <c r="K190" s="61"/>
    </row>
    <row r="191">
      <c r="C191" s="61"/>
      <c r="H191" s="61"/>
      <c r="I191" s="61"/>
      <c r="J191" s="61"/>
      <c r="K191" s="61"/>
    </row>
    <row r="192">
      <c r="C192" s="61"/>
      <c r="H192" s="61"/>
      <c r="I192" s="61"/>
      <c r="J192" s="61"/>
      <c r="K192" s="61"/>
    </row>
    <row r="193">
      <c r="C193" s="61"/>
      <c r="H193" s="61"/>
      <c r="I193" s="61"/>
      <c r="J193" s="61"/>
      <c r="K193" s="61"/>
    </row>
    <row r="194">
      <c r="C194" s="61"/>
      <c r="H194" s="61"/>
      <c r="I194" s="61"/>
      <c r="J194" s="61"/>
      <c r="K194" s="61"/>
    </row>
    <row r="195">
      <c r="C195" s="61"/>
      <c r="H195" s="61"/>
      <c r="I195" s="61"/>
      <c r="J195" s="61"/>
      <c r="K195" s="61"/>
    </row>
    <row r="196">
      <c r="C196" s="61"/>
      <c r="H196" s="61"/>
      <c r="I196" s="61"/>
      <c r="J196" s="61"/>
      <c r="K196" s="61"/>
    </row>
    <row r="197">
      <c r="C197" s="61"/>
      <c r="H197" s="61"/>
      <c r="I197" s="61"/>
      <c r="J197" s="61"/>
      <c r="K197" s="61"/>
    </row>
    <row r="198">
      <c r="C198" s="61"/>
      <c r="H198" s="61"/>
      <c r="I198" s="61"/>
      <c r="J198" s="61"/>
      <c r="K198" s="61"/>
    </row>
    <row r="199">
      <c r="C199" s="61"/>
      <c r="H199" s="61"/>
      <c r="I199" s="61"/>
      <c r="J199" s="61"/>
      <c r="K199" s="61"/>
    </row>
    <row r="200">
      <c r="C200" s="61"/>
      <c r="H200" s="61"/>
      <c r="I200" s="61"/>
      <c r="J200" s="61"/>
      <c r="K200" s="61"/>
    </row>
    <row r="201">
      <c r="C201" s="61"/>
      <c r="H201" s="61"/>
      <c r="I201" s="61"/>
      <c r="J201" s="61"/>
      <c r="K201" s="61"/>
    </row>
    <row r="202">
      <c r="C202" s="61"/>
      <c r="H202" s="61"/>
      <c r="I202" s="61"/>
      <c r="J202" s="61"/>
      <c r="K202" s="61"/>
    </row>
    <row r="203">
      <c r="C203" s="61"/>
      <c r="H203" s="61"/>
      <c r="I203" s="61"/>
      <c r="J203" s="61"/>
      <c r="K203" s="61"/>
    </row>
    <row r="204">
      <c r="C204" s="61"/>
      <c r="H204" s="61"/>
      <c r="I204" s="61"/>
      <c r="J204" s="61"/>
      <c r="K204" s="61"/>
    </row>
    <row r="205">
      <c r="C205" s="61"/>
      <c r="H205" s="61"/>
      <c r="I205" s="61"/>
      <c r="J205" s="61"/>
      <c r="K205" s="61"/>
    </row>
    <row r="206">
      <c r="C206" s="61"/>
      <c r="H206" s="61"/>
      <c r="I206" s="61"/>
      <c r="J206" s="61"/>
      <c r="K206" s="61"/>
    </row>
    <row r="207">
      <c r="C207" s="61"/>
      <c r="H207" s="61"/>
      <c r="I207" s="61"/>
      <c r="J207" s="61"/>
      <c r="K207" s="61"/>
    </row>
    <row r="208">
      <c r="C208" s="61"/>
      <c r="H208" s="61"/>
      <c r="I208" s="61"/>
      <c r="J208" s="61"/>
      <c r="K208" s="61"/>
    </row>
    <row r="209">
      <c r="C209" s="61"/>
      <c r="H209" s="61"/>
      <c r="I209" s="61"/>
      <c r="J209" s="61"/>
      <c r="K209" s="61"/>
    </row>
    <row r="210">
      <c r="C210" s="61"/>
      <c r="H210" s="61"/>
      <c r="I210" s="61"/>
      <c r="J210" s="61"/>
      <c r="K210" s="61"/>
    </row>
    <row r="211">
      <c r="C211" s="61"/>
      <c r="H211" s="61"/>
      <c r="I211" s="61"/>
      <c r="J211" s="61"/>
      <c r="K211" s="61"/>
    </row>
    <row r="212">
      <c r="C212" s="61"/>
      <c r="H212" s="61"/>
      <c r="I212" s="61"/>
      <c r="J212" s="61"/>
      <c r="K212" s="61"/>
    </row>
    <row r="213">
      <c r="C213" s="61"/>
      <c r="H213" s="61"/>
      <c r="I213" s="61"/>
      <c r="J213" s="61"/>
      <c r="K213" s="61"/>
    </row>
    <row r="214">
      <c r="C214" s="61"/>
      <c r="H214" s="61"/>
      <c r="I214" s="61"/>
      <c r="J214" s="61"/>
      <c r="K214" s="61"/>
    </row>
    <row r="215">
      <c r="C215" s="61"/>
      <c r="H215" s="61"/>
      <c r="I215" s="61"/>
      <c r="J215" s="61"/>
      <c r="K215" s="61"/>
    </row>
    <row r="216">
      <c r="C216" s="61"/>
      <c r="H216" s="61"/>
      <c r="I216" s="61"/>
      <c r="J216" s="61"/>
      <c r="K216" s="61"/>
    </row>
    <row r="217">
      <c r="C217" s="61"/>
      <c r="H217" s="61"/>
      <c r="I217" s="61"/>
      <c r="J217" s="61"/>
      <c r="K217" s="61"/>
    </row>
    <row r="218">
      <c r="C218" s="61"/>
      <c r="H218" s="61"/>
      <c r="I218" s="61"/>
      <c r="J218" s="61"/>
      <c r="K218" s="61"/>
    </row>
    <row r="219">
      <c r="C219" s="61"/>
      <c r="H219" s="61"/>
      <c r="I219" s="61"/>
      <c r="J219" s="61"/>
      <c r="K219" s="61"/>
    </row>
    <row r="220">
      <c r="C220" s="61"/>
      <c r="H220" s="61"/>
      <c r="I220" s="61"/>
      <c r="J220" s="61"/>
      <c r="K220" s="61"/>
    </row>
    <row r="221">
      <c r="C221" s="61"/>
      <c r="H221" s="61"/>
      <c r="I221" s="61"/>
      <c r="J221" s="61"/>
      <c r="K221" s="61"/>
    </row>
    <row r="222">
      <c r="C222" s="61"/>
      <c r="H222" s="61"/>
      <c r="I222" s="61"/>
      <c r="J222" s="61"/>
      <c r="K222" s="61"/>
    </row>
    <row r="223">
      <c r="C223" s="61"/>
      <c r="H223" s="61"/>
      <c r="I223" s="61"/>
      <c r="J223" s="61"/>
      <c r="K223" s="61"/>
    </row>
    <row r="224">
      <c r="C224" s="61"/>
      <c r="H224" s="61"/>
      <c r="I224" s="61"/>
      <c r="J224" s="61"/>
      <c r="K224" s="61"/>
    </row>
    <row r="225">
      <c r="C225" s="61"/>
      <c r="H225" s="61"/>
      <c r="I225" s="61"/>
      <c r="J225" s="61"/>
      <c r="K225" s="61"/>
    </row>
    <row r="226">
      <c r="C226" s="61"/>
      <c r="H226" s="61"/>
      <c r="I226" s="61"/>
      <c r="J226" s="61"/>
      <c r="K226" s="61"/>
    </row>
    <row r="227">
      <c r="C227" s="61"/>
      <c r="H227" s="61"/>
      <c r="I227" s="61"/>
      <c r="J227" s="61"/>
      <c r="K227" s="61"/>
    </row>
    <row r="228">
      <c r="C228" s="61"/>
      <c r="H228" s="61"/>
      <c r="I228" s="61"/>
      <c r="J228" s="61"/>
      <c r="K228" s="61"/>
    </row>
    <row r="229">
      <c r="C229" s="61"/>
      <c r="H229" s="61"/>
      <c r="I229" s="61"/>
      <c r="J229" s="61"/>
      <c r="K229" s="61"/>
    </row>
    <row r="230">
      <c r="C230" s="61"/>
      <c r="H230" s="61"/>
      <c r="I230" s="61"/>
      <c r="J230" s="61"/>
      <c r="K230" s="61"/>
    </row>
    <row r="231">
      <c r="C231" s="61"/>
      <c r="H231" s="61"/>
      <c r="I231" s="61"/>
      <c r="J231" s="61"/>
      <c r="K231" s="61"/>
    </row>
    <row r="232">
      <c r="C232" s="61"/>
      <c r="H232" s="61"/>
      <c r="I232" s="61"/>
      <c r="J232" s="61"/>
      <c r="K232" s="61"/>
    </row>
    <row r="233">
      <c r="C233" s="61"/>
      <c r="H233" s="61"/>
      <c r="I233" s="61"/>
      <c r="J233" s="61"/>
      <c r="K233" s="61"/>
    </row>
    <row r="234">
      <c r="C234" s="61"/>
      <c r="H234" s="61"/>
      <c r="I234" s="61"/>
      <c r="J234" s="61"/>
      <c r="K234" s="61"/>
    </row>
    <row r="235">
      <c r="C235" s="61"/>
      <c r="H235" s="61"/>
      <c r="I235" s="61"/>
      <c r="J235" s="61"/>
      <c r="K235" s="61"/>
    </row>
    <row r="236">
      <c r="C236" s="61"/>
      <c r="H236" s="61"/>
      <c r="I236" s="61"/>
      <c r="J236" s="61"/>
      <c r="K236" s="61"/>
    </row>
    <row r="237">
      <c r="C237" s="61"/>
      <c r="H237" s="61"/>
      <c r="I237" s="61"/>
      <c r="J237" s="61"/>
      <c r="K237" s="61"/>
    </row>
    <row r="238">
      <c r="C238" s="61"/>
      <c r="H238" s="61"/>
      <c r="I238" s="61"/>
      <c r="J238" s="61"/>
      <c r="K238" s="61"/>
    </row>
    <row r="239">
      <c r="C239" s="61"/>
      <c r="H239" s="61"/>
      <c r="I239" s="61"/>
      <c r="J239" s="61"/>
      <c r="K239" s="61"/>
    </row>
    <row r="240">
      <c r="C240" s="61"/>
      <c r="H240" s="61"/>
      <c r="I240" s="61"/>
      <c r="J240" s="61"/>
      <c r="K240" s="61"/>
    </row>
    <row r="241">
      <c r="C241" s="61"/>
      <c r="H241" s="61"/>
      <c r="I241" s="61"/>
      <c r="J241" s="61"/>
      <c r="K241" s="61"/>
    </row>
    <row r="242">
      <c r="C242" s="61"/>
      <c r="H242" s="61"/>
      <c r="I242" s="61"/>
      <c r="J242" s="61"/>
      <c r="K242" s="61"/>
    </row>
    <row r="243">
      <c r="C243" s="61"/>
      <c r="H243" s="61"/>
      <c r="I243" s="61"/>
      <c r="J243" s="61"/>
      <c r="K243" s="61"/>
    </row>
    <row r="244">
      <c r="C244" s="61"/>
      <c r="H244" s="61"/>
      <c r="I244" s="61"/>
      <c r="J244" s="61"/>
      <c r="K244" s="61"/>
    </row>
    <row r="245">
      <c r="C245" s="61"/>
      <c r="H245" s="61"/>
      <c r="I245" s="61"/>
      <c r="J245" s="61"/>
      <c r="K245" s="61"/>
    </row>
    <row r="246">
      <c r="C246" s="61"/>
      <c r="H246" s="61"/>
      <c r="I246" s="61"/>
      <c r="J246" s="61"/>
      <c r="K246" s="61"/>
    </row>
    <row r="247">
      <c r="C247" s="61"/>
      <c r="H247" s="61"/>
      <c r="I247" s="61"/>
      <c r="J247" s="61"/>
      <c r="K247" s="61"/>
    </row>
    <row r="248">
      <c r="C248" s="61"/>
      <c r="H248" s="61"/>
      <c r="I248" s="61"/>
      <c r="J248" s="61"/>
      <c r="K248" s="61"/>
    </row>
    <row r="249">
      <c r="C249" s="61"/>
      <c r="H249" s="61"/>
      <c r="I249" s="61"/>
      <c r="J249" s="61"/>
      <c r="K249" s="61"/>
    </row>
    <row r="250">
      <c r="C250" s="61"/>
      <c r="H250" s="61"/>
      <c r="I250" s="61"/>
      <c r="J250" s="61"/>
      <c r="K250" s="61"/>
    </row>
    <row r="251">
      <c r="C251" s="61"/>
      <c r="H251" s="61"/>
      <c r="I251" s="61"/>
      <c r="J251" s="61"/>
      <c r="K251" s="61"/>
    </row>
    <row r="252">
      <c r="C252" s="61"/>
      <c r="H252" s="61"/>
      <c r="I252" s="61"/>
      <c r="J252" s="61"/>
      <c r="K252" s="61"/>
    </row>
    <row r="253">
      <c r="C253" s="61"/>
      <c r="H253" s="61"/>
      <c r="I253" s="61"/>
      <c r="J253" s="61"/>
      <c r="K253" s="61"/>
    </row>
    <row r="254">
      <c r="C254" s="61"/>
      <c r="H254" s="61"/>
      <c r="I254" s="61"/>
      <c r="J254" s="61"/>
      <c r="K254" s="61"/>
    </row>
    <row r="255">
      <c r="C255" s="61"/>
      <c r="H255" s="61"/>
      <c r="I255" s="61"/>
      <c r="J255" s="61"/>
      <c r="K255" s="61"/>
    </row>
    <row r="256">
      <c r="C256" s="61"/>
      <c r="H256" s="61"/>
      <c r="I256" s="61"/>
      <c r="J256" s="61"/>
      <c r="K256" s="61"/>
    </row>
    <row r="257">
      <c r="C257" s="61"/>
      <c r="H257" s="61"/>
      <c r="I257" s="61"/>
      <c r="J257" s="61"/>
      <c r="K257" s="61"/>
    </row>
    <row r="258">
      <c r="C258" s="61"/>
      <c r="H258" s="61"/>
      <c r="I258" s="61"/>
      <c r="J258" s="61"/>
      <c r="K258" s="61"/>
    </row>
    <row r="259">
      <c r="C259" s="61"/>
      <c r="H259" s="61"/>
      <c r="I259" s="61"/>
      <c r="J259" s="61"/>
      <c r="K259" s="61"/>
    </row>
    <row r="260">
      <c r="C260" s="61"/>
      <c r="H260" s="61"/>
      <c r="I260" s="61"/>
      <c r="J260" s="61"/>
      <c r="K260" s="61"/>
    </row>
    <row r="261">
      <c r="C261" s="61"/>
      <c r="H261" s="61"/>
      <c r="I261" s="61"/>
      <c r="J261" s="61"/>
      <c r="K261" s="61"/>
    </row>
    <row r="262">
      <c r="C262" s="61"/>
      <c r="H262" s="61"/>
      <c r="I262" s="61"/>
      <c r="J262" s="61"/>
      <c r="K262" s="61"/>
    </row>
    <row r="263">
      <c r="C263" s="61"/>
      <c r="H263" s="61"/>
      <c r="I263" s="61"/>
      <c r="J263" s="61"/>
      <c r="K263" s="61"/>
    </row>
    <row r="264">
      <c r="C264" s="61"/>
      <c r="H264" s="61"/>
      <c r="I264" s="61"/>
      <c r="J264" s="61"/>
      <c r="K264" s="61"/>
    </row>
    <row r="265">
      <c r="C265" s="61"/>
      <c r="H265" s="61"/>
      <c r="I265" s="61"/>
      <c r="J265" s="61"/>
      <c r="K265" s="61"/>
    </row>
    <row r="266">
      <c r="C266" s="61"/>
      <c r="H266" s="61"/>
      <c r="I266" s="61"/>
      <c r="J266" s="61"/>
      <c r="K266" s="61"/>
    </row>
    <row r="267">
      <c r="C267" s="61"/>
      <c r="H267" s="61"/>
      <c r="I267" s="61"/>
      <c r="J267" s="61"/>
      <c r="K267" s="61"/>
    </row>
    <row r="268">
      <c r="C268" s="61"/>
      <c r="H268" s="61"/>
      <c r="I268" s="61"/>
      <c r="J268" s="61"/>
      <c r="K268" s="61"/>
    </row>
    <row r="269">
      <c r="C269" s="61"/>
      <c r="H269" s="61"/>
      <c r="I269" s="61"/>
      <c r="J269" s="61"/>
      <c r="K269" s="61"/>
    </row>
    <row r="270">
      <c r="C270" s="61"/>
      <c r="H270" s="61"/>
      <c r="I270" s="61"/>
      <c r="J270" s="61"/>
      <c r="K270" s="61"/>
    </row>
    <row r="271">
      <c r="C271" s="61"/>
      <c r="H271" s="61"/>
      <c r="I271" s="61"/>
      <c r="J271" s="61"/>
      <c r="K271" s="61"/>
    </row>
    <row r="272">
      <c r="C272" s="61"/>
      <c r="H272" s="61"/>
      <c r="I272" s="61"/>
      <c r="J272" s="61"/>
      <c r="K272" s="61"/>
    </row>
    <row r="273">
      <c r="C273" s="61"/>
      <c r="H273" s="61"/>
      <c r="I273" s="61"/>
      <c r="J273" s="61"/>
      <c r="K273" s="61"/>
    </row>
    <row r="274">
      <c r="C274" s="61"/>
      <c r="H274" s="61"/>
      <c r="I274" s="61"/>
      <c r="J274" s="61"/>
      <c r="K274" s="61"/>
    </row>
    <row r="275">
      <c r="C275" s="61"/>
      <c r="H275" s="61"/>
      <c r="I275" s="61"/>
      <c r="J275" s="61"/>
      <c r="K275" s="61"/>
    </row>
    <row r="276">
      <c r="C276" s="61"/>
      <c r="H276" s="61"/>
      <c r="I276" s="61"/>
      <c r="J276" s="61"/>
      <c r="K276" s="61"/>
    </row>
    <row r="277">
      <c r="C277" s="61"/>
      <c r="H277" s="61"/>
      <c r="I277" s="61"/>
      <c r="J277" s="61"/>
      <c r="K277" s="61"/>
    </row>
    <row r="278">
      <c r="C278" s="61"/>
      <c r="H278" s="61"/>
      <c r="I278" s="61"/>
      <c r="J278" s="61"/>
      <c r="K278" s="61"/>
    </row>
    <row r="279">
      <c r="C279" s="61"/>
      <c r="H279" s="61"/>
      <c r="I279" s="61"/>
      <c r="J279" s="61"/>
      <c r="K279" s="61"/>
    </row>
    <row r="280">
      <c r="C280" s="61"/>
      <c r="H280" s="61"/>
      <c r="I280" s="61"/>
      <c r="J280" s="61"/>
      <c r="K280" s="61"/>
    </row>
    <row r="281">
      <c r="C281" s="61"/>
      <c r="H281" s="61"/>
      <c r="I281" s="61"/>
      <c r="J281" s="61"/>
      <c r="K281" s="61"/>
    </row>
    <row r="282">
      <c r="C282" s="61"/>
      <c r="H282" s="61"/>
      <c r="I282" s="61"/>
      <c r="J282" s="61"/>
      <c r="K282" s="61"/>
    </row>
    <row r="283">
      <c r="C283" s="61"/>
      <c r="H283" s="61"/>
      <c r="I283" s="61"/>
      <c r="J283" s="61"/>
      <c r="K283" s="61"/>
    </row>
    <row r="284">
      <c r="C284" s="61"/>
      <c r="H284" s="61"/>
      <c r="I284" s="61"/>
      <c r="J284" s="61"/>
      <c r="K284" s="61"/>
    </row>
    <row r="285">
      <c r="C285" s="61"/>
      <c r="H285" s="61"/>
      <c r="I285" s="61"/>
      <c r="J285" s="61"/>
      <c r="K285" s="61"/>
    </row>
    <row r="286">
      <c r="C286" s="61"/>
      <c r="H286" s="61"/>
      <c r="I286" s="61"/>
      <c r="J286" s="61"/>
      <c r="K286" s="61"/>
    </row>
    <row r="287">
      <c r="C287" s="61"/>
      <c r="H287" s="61"/>
      <c r="I287" s="61"/>
      <c r="J287" s="61"/>
      <c r="K287" s="61"/>
    </row>
    <row r="288">
      <c r="C288" s="61"/>
      <c r="H288" s="61"/>
      <c r="I288" s="61"/>
      <c r="J288" s="61"/>
      <c r="K288" s="61"/>
    </row>
    <row r="289">
      <c r="C289" s="61"/>
      <c r="H289" s="61"/>
      <c r="I289" s="61"/>
      <c r="J289" s="61"/>
      <c r="K289" s="61"/>
    </row>
    <row r="290">
      <c r="C290" s="61"/>
      <c r="H290" s="61"/>
      <c r="I290" s="61"/>
      <c r="J290" s="61"/>
      <c r="K290" s="61"/>
    </row>
    <row r="291">
      <c r="C291" s="61"/>
      <c r="H291" s="61"/>
      <c r="I291" s="61"/>
      <c r="J291" s="61"/>
      <c r="K291" s="61"/>
    </row>
    <row r="292">
      <c r="C292" s="61"/>
      <c r="H292" s="61"/>
      <c r="I292" s="61"/>
      <c r="J292" s="61"/>
      <c r="K292" s="61"/>
    </row>
    <row r="293">
      <c r="C293" s="61"/>
      <c r="H293" s="61"/>
      <c r="I293" s="61"/>
      <c r="J293" s="61"/>
      <c r="K293" s="61"/>
    </row>
    <row r="294">
      <c r="C294" s="61"/>
      <c r="H294" s="61"/>
      <c r="I294" s="61"/>
      <c r="J294" s="61"/>
      <c r="K294" s="61"/>
    </row>
    <row r="295">
      <c r="C295" s="61"/>
      <c r="H295" s="61"/>
      <c r="I295" s="61"/>
      <c r="J295" s="61"/>
      <c r="K295" s="61"/>
    </row>
    <row r="296">
      <c r="C296" s="61"/>
      <c r="H296" s="61"/>
      <c r="I296" s="61"/>
      <c r="J296" s="61"/>
      <c r="K296" s="61"/>
    </row>
    <row r="297">
      <c r="C297" s="61"/>
      <c r="H297" s="61"/>
      <c r="I297" s="61"/>
      <c r="J297" s="61"/>
      <c r="K297" s="61"/>
    </row>
    <row r="298">
      <c r="C298" s="61"/>
      <c r="H298" s="61"/>
      <c r="I298" s="61"/>
      <c r="J298" s="61"/>
      <c r="K298" s="61"/>
    </row>
    <row r="299">
      <c r="C299" s="61"/>
      <c r="H299" s="61"/>
      <c r="I299" s="61"/>
      <c r="J299" s="61"/>
      <c r="K299" s="61"/>
    </row>
    <row r="300">
      <c r="C300" s="61"/>
      <c r="H300" s="61"/>
      <c r="I300" s="61"/>
      <c r="J300" s="61"/>
      <c r="K300" s="61"/>
    </row>
    <row r="301">
      <c r="C301" s="61"/>
      <c r="H301" s="61"/>
      <c r="I301" s="61"/>
      <c r="J301" s="61"/>
      <c r="K301" s="61"/>
    </row>
    <row r="302">
      <c r="C302" s="61"/>
      <c r="H302" s="61"/>
      <c r="I302" s="61"/>
      <c r="J302" s="61"/>
      <c r="K302" s="61"/>
    </row>
    <row r="303">
      <c r="C303" s="61"/>
      <c r="H303" s="61"/>
      <c r="I303" s="61"/>
      <c r="J303" s="61"/>
      <c r="K303" s="61"/>
    </row>
    <row r="304">
      <c r="C304" s="61"/>
      <c r="H304" s="61"/>
      <c r="I304" s="61"/>
      <c r="J304" s="61"/>
      <c r="K304" s="61"/>
    </row>
    <row r="305">
      <c r="C305" s="61"/>
      <c r="H305" s="61"/>
      <c r="I305" s="61"/>
      <c r="J305" s="61"/>
      <c r="K305" s="61"/>
    </row>
    <row r="306">
      <c r="C306" s="61"/>
      <c r="H306" s="61"/>
      <c r="I306" s="61"/>
      <c r="J306" s="61"/>
      <c r="K306" s="61"/>
    </row>
    <row r="307">
      <c r="C307" s="61"/>
      <c r="H307" s="61"/>
      <c r="I307" s="61"/>
      <c r="J307" s="61"/>
      <c r="K307" s="61"/>
    </row>
    <row r="308">
      <c r="C308" s="61"/>
      <c r="H308" s="61"/>
      <c r="I308" s="61"/>
      <c r="J308" s="61"/>
      <c r="K308" s="61"/>
    </row>
    <row r="309">
      <c r="C309" s="61"/>
      <c r="H309" s="61"/>
      <c r="I309" s="61"/>
      <c r="J309" s="61"/>
      <c r="K309" s="61"/>
    </row>
    <row r="310">
      <c r="C310" s="61"/>
      <c r="H310" s="61"/>
      <c r="I310" s="61"/>
      <c r="J310" s="61"/>
      <c r="K310" s="61"/>
    </row>
    <row r="311">
      <c r="C311" s="61"/>
      <c r="H311" s="61"/>
      <c r="I311" s="61"/>
      <c r="J311" s="61"/>
      <c r="K311" s="61"/>
    </row>
    <row r="312">
      <c r="C312" s="61"/>
      <c r="H312" s="61"/>
      <c r="I312" s="61"/>
      <c r="J312" s="61"/>
      <c r="K312" s="61"/>
    </row>
    <row r="313">
      <c r="C313" s="61"/>
      <c r="H313" s="61"/>
      <c r="I313" s="61"/>
      <c r="J313" s="61"/>
      <c r="K313" s="61"/>
    </row>
    <row r="314">
      <c r="C314" s="61"/>
      <c r="H314" s="61"/>
      <c r="I314" s="61"/>
      <c r="J314" s="61"/>
      <c r="K314" s="61"/>
    </row>
    <row r="315">
      <c r="C315" s="61"/>
      <c r="H315" s="61"/>
      <c r="I315" s="61"/>
      <c r="J315" s="61"/>
      <c r="K315" s="61"/>
    </row>
    <row r="316">
      <c r="C316" s="61"/>
      <c r="H316" s="61"/>
      <c r="I316" s="61"/>
      <c r="J316" s="61"/>
      <c r="K316" s="61"/>
    </row>
    <row r="317">
      <c r="C317" s="61"/>
      <c r="H317" s="61"/>
      <c r="I317" s="61"/>
      <c r="J317" s="61"/>
      <c r="K317" s="61"/>
    </row>
    <row r="318">
      <c r="C318" s="61"/>
      <c r="H318" s="61"/>
      <c r="I318" s="61"/>
      <c r="J318" s="61"/>
      <c r="K318" s="61"/>
    </row>
    <row r="319">
      <c r="C319" s="61"/>
      <c r="H319" s="61"/>
      <c r="I319" s="61"/>
      <c r="J319" s="61"/>
      <c r="K319" s="61"/>
    </row>
    <row r="320">
      <c r="C320" s="61"/>
      <c r="H320" s="61"/>
      <c r="I320" s="61"/>
      <c r="J320" s="61"/>
      <c r="K320" s="61"/>
    </row>
    <row r="321">
      <c r="C321" s="61"/>
      <c r="H321" s="61"/>
      <c r="I321" s="61"/>
      <c r="J321" s="61"/>
      <c r="K321" s="61"/>
    </row>
    <row r="322">
      <c r="C322" s="61"/>
      <c r="H322" s="61"/>
      <c r="I322" s="61"/>
      <c r="J322" s="61"/>
      <c r="K322" s="61"/>
    </row>
    <row r="323">
      <c r="C323" s="61"/>
      <c r="H323" s="61"/>
      <c r="I323" s="61"/>
      <c r="J323" s="61"/>
      <c r="K323" s="61"/>
    </row>
    <row r="324">
      <c r="C324" s="61"/>
      <c r="H324" s="61"/>
      <c r="I324" s="61"/>
      <c r="J324" s="61"/>
      <c r="K324" s="61"/>
    </row>
    <row r="325">
      <c r="C325" s="61"/>
      <c r="H325" s="61"/>
      <c r="I325" s="61"/>
      <c r="J325" s="61"/>
      <c r="K325" s="61"/>
    </row>
    <row r="326">
      <c r="C326" s="61"/>
      <c r="H326" s="61"/>
      <c r="I326" s="61"/>
      <c r="J326" s="61"/>
      <c r="K326" s="61"/>
    </row>
    <row r="327">
      <c r="C327" s="61"/>
      <c r="H327" s="61"/>
      <c r="I327" s="61"/>
      <c r="J327" s="61"/>
      <c r="K327" s="61"/>
    </row>
    <row r="328">
      <c r="C328" s="61"/>
      <c r="H328" s="61"/>
      <c r="I328" s="61"/>
      <c r="J328" s="61"/>
      <c r="K328" s="61"/>
    </row>
    <row r="329">
      <c r="C329" s="61"/>
      <c r="H329" s="61"/>
      <c r="I329" s="61"/>
      <c r="J329" s="61"/>
      <c r="K329" s="61"/>
    </row>
    <row r="330">
      <c r="C330" s="61"/>
      <c r="H330" s="61"/>
      <c r="I330" s="61"/>
      <c r="J330" s="61"/>
      <c r="K330" s="61"/>
    </row>
    <row r="331">
      <c r="C331" s="61"/>
      <c r="H331" s="61"/>
      <c r="I331" s="61"/>
      <c r="J331" s="61"/>
      <c r="K331" s="61"/>
    </row>
    <row r="332">
      <c r="C332" s="61"/>
      <c r="H332" s="61"/>
      <c r="I332" s="61"/>
      <c r="J332" s="61"/>
      <c r="K332" s="61"/>
    </row>
    <row r="333">
      <c r="C333" s="61"/>
      <c r="H333" s="61"/>
      <c r="I333" s="61"/>
      <c r="J333" s="61"/>
      <c r="K333" s="61"/>
    </row>
    <row r="334">
      <c r="C334" s="61"/>
      <c r="H334" s="61"/>
      <c r="I334" s="61"/>
      <c r="J334" s="61"/>
      <c r="K334" s="61"/>
    </row>
    <row r="335">
      <c r="C335" s="61"/>
      <c r="H335" s="61"/>
      <c r="I335" s="61"/>
      <c r="J335" s="61"/>
      <c r="K335" s="61"/>
    </row>
    <row r="336">
      <c r="C336" s="61"/>
      <c r="H336" s="61"/>
      <c r="I336" s="61"/>
      <c r="J336" s="61"/>
      <c r="K336" s="61"/>
    </row>
    <row r="337">
      <c r="C337" s="61"/>
      <c r="H337" s="61"/>
      <c r="I337" s="61"/>
      <c r="J337" s="61"/>
      <c r="K337" s="61"/>
    </row>
    <row r="338">
      <c r="C338" s="61"/>
      <c r="H338" s="61"/>
      <c r="I338" s="61"/>
      <c r="J338" s="61"/>
      <c r="K338" s="61"/>
    </row>
    <row r="339">
      <c r="C339" s="61"/>
      <c r="H339" s="61"/>
      <c r="I339" s="61"/>
      <c r="J339" s="61"/>
      <c r="K339" s="61"/>
    </row>
    <row r="340">
      <c r="C340" s="61"/>
      <c r="H340" s="61"/>
      <c r="I340" s="61"/>
      <c r="J340" s="61"/>
      <c r="K340" s="61"/>
    </row>
    <row r="341">
      <c r="C341" s="61"/>
      <c r="H341" s="61"/>
      <c r="I341" s="61"/>
      <c r="J341" s="61"/>
      <c r="K341" s="61"/>
    </row>
    <row r="342">
      <c r="C342" s="61"/>
      <c r="H342" s="61"/>
      <c r="I342" s="61"/>
      <c r="J342" s="61"/>
      <c r="K342" s="61"/>
    </row>
    <row r="343">
      <c r="C343" s="61"/>
      <c r="H343" s="61"/>
      <c r="I343" s="61"/>
      <c r="J343" s="61"/>
      <c r="K343" s="61"/>
    </row>
    <row r="344">
      <c r="C344" s="61"/>
      <c r="H344" s="61"/>
      <c r="I344" s="61"/>
      <c r="J344" s="61"/>
      <c r="K344" s="61"/>
    </row>
    <row r="345">
      <c r="C345" s="61"/>
      <c r="H345" s="61"/>
      <c r="I345" s="61"/>
      <c r="J345" s="61"/>
      <c r="K345" s="61"/>
    </row>
    <row r="346">
      <c r="C346" s="61"/>
      <c r="H346" s="61"/>
      <c r="I346" s="61"/>
      <c r="J346" s="61"/>
      <c r="K346" s="61"/>
    </row>
    <row r="347">
      <c r="C347" s="61"/>
      <c r="H347" s="61"/>
      <c r="I347" s="61"/>
      <c r="J347" s="61"/>
      <c r="K347" s="61"/>
    </row>
    <row r="348">
      <c r="C348" s="61"/>
      <c r="H348" s="61"/>
      <c r="I348" s="61"/>
      <c r="J348" s="61"/>
      <c r="K348" s="61"/>
    </row>
    <row r="349">
      <c r="C349" s="61"/>
      <c r="H349" s="61"/>
      <c r="I349" s="61"/>
      <c r="J349" s="61"/>
      <c r="K349" s="61"/>
    </row>
    <row r="350">
      <c r="C350" s="61"/>
      <c r="H350" s="61"/>
      <c r="I350" s="61"/>
      <c r="J350" s="61"/>
      <c r="K350" s="61"/>
    </row>
    <row r="351">
      <c r="C351" s="61"/>
      <c r="H351" s="61"/>
      <c r="I351" s="61"/>
      <c r="J351" s="61"/>
      <c r="K351" s="61"/>
    </row>
    <row r="352">
      <c r="C352" s="61"/>
      <c r="H352" s="61"/>
      <c r="I352" s="61"/>
      <c r="J352" s="61"/>
      <c r="K352" s="61"/>
    </row>
    <row r="353">
      <c r="C353" s="61"/>
      <c r="H353" s="61"/>
      <c r="I353" s="61"/>
      <c r="J353" s="61"/>
      <c r="K353" s="61"/>
    </row>
    <row r="354">
      <c r="C354" s="61"/>
      <c r="H354" s="61"/>
      <c r="I354" s="61"/>
      <c r="J354" s="61"/>
      <c r="K354" s="61"/>
    </row>
    <row r="355">
      <c r="C355" s="61"/>
      <c r="H355" s="61"/>
      <c r="I355" s="61"/>
      <c r="J355" s="61"/>
      <c r="K355" s="61"/>
    </row>
    <row r="356">
      <c r="C356" s="61"/>
      <c r="H356" s="61"/>
      <c r="I356" s="61"/>
      <c r="J356" s="61"/>
      <c r="K356" s="61"/>
    </row>
    <row r="357">
      <c r="C357" s="61"/>
      <c r="H357" s="61"/>
      <c r="I357" s="61"/>
      <c r="J357" s="61"/>
      <c r="K357" s="61"/>
    </row>
    <row r="358">
      <c r="C358" s="61"/>
      <c r="H358" s="61"/>
      <c r="I358" s="61"/>
      <c r="J358" s="61"/>
      <c r="K358" s="61"/>
    </row>
    <row r="359">
      <c r="C359" s="61"/>
      <c r="H359" s="61"/>
      <c r="I359" s="61"/>
      <c r="J359" s="61"/>
      <c r="K359" s="61"/>
    </row>
    <row r="360">
      <c r="C360" s="61"/>
      <c r="H360" s="61"/>
      <c r="I360" s="61"/>
      <c r="J360" s="61"/>
      <c r="K360" s="61"/>
    </row>
    <row r="361">
      <c r="C361" s="61"/>
      <c r="H361" s="61"/>
      <c r="I361" s="61"/>
      <c r="J361" s="61"/>
      <c r="K361" s="61"/>
    </row>
    <row r="362">
      <c r="C362" s="61"/>
      <c r="H362" s="61"/>
      <c r="I362" s="61"/>
      <c r="J362" s="61"/>
      <c r="K362" s="61"/>
    </row>
    <row r="363">
      <c r="C363" s="61"/>
      <c r="H363" s="61"/>
      <c r="I363" s="61"/>
      <c r="J363" s="61"/>
      <c r="K363" s="61"/>
    </row>
    <row r="364">
      <c r="C364" s="61"/>
      <c r="H364" s="61"/>
      <c r="I364" s="61"/>
      <c r="J364" s="61"/>
      <c r="K364" s="61"/>
    </row>
    <row r="365">
      <c r="C365" s="61"/>
      <c r="H365" s="61"/>
      <c r="I365" s="61"/>
      <c r="J365" s="61"/>
      <c r="K365" s="61"/>
    </row>
    <row r="366">
      <c r="C366" s="61"/>
      <c r="H366" s="61"/>
      <c r="I366" s="61"/>
      <c r="J366" s="61"/>
      <c r="K366" s="61"/>
    </row>
    <row r="367">
      <c r="C367" s="61"/>
      <c r="H367" s="61"/>
      <c r="I367" s="61"/>
      <c r="J367" s="61"/>
      <c r="K367" s="61"/>
    </row>
    <row r="368">
      <c r="C368" s="61"/>
      <c r="H368" s="61"/>
      <c r="I368" s="61"/>
      <c r="J368" s="61"/>
      <c r="K368" s="61"/>
    </row>
    <row r="369">
      <c r="C369" s="61"/>
      <c r="H369" s="61"/>
      <c r="I369" s="61"/>
      <c r="J369" s="61"/>
      <c r="K369" s="61"/>
    </row>
    <row r="370">
      <c r="C370" s="61"/>
      <c r="H370" s="61"/>
      <c r="I370" s="61"/>
      <c r="J370" s="61"/>
      <c r="K370" s="61"/>
    </row>
    <row r="371">
      <c r="C371" s="61"/>
      <c r="H371" s="61"/>
      <c r="I371" s="61"/>
      <c r="J371" s="61"/>
      <c r="K371" s="61"/>
    </row>
    <row r="372">
      <c r="C372" s="61"/>
      <c r="H372" s="61"/>
      <c r="I372" s="61"/>
      <c r="J372" s="61"/>
      <c r="K372" s="61"/>
    </row>
    <row r="373">
      <c r="C373" s="61"/>
      <c r="H373" s="61"/>
      <c r="I373" s="61"/>
      <c r="J373" s="61"/>
      <c r="K373" s="61"/>
    </row>
    <row r="374">
      <c r="C374" s="61"/>
      <c r="H374" s="61"/>
      <c r="I374" s="61"/>
      <c r="J374" s="61"/>
      <c r="K374" s="61"/>
    </row>
    <row r="375">
      <c r="C375" s="61"/>
      <c r="H375" s="61"/>
      <c r="I375" s="61"/>
      <c r="J375" s="61"/>
      <c r="K375" s="61"/>
    </row>
    <row r="376">
      <c r="C376" s="61"/>
      <c r="H376" s="61"/>
      <c r="I376" s="61"/>
      <c r="J376" s="61"/>
      <c r="K376" s="61"/>
    </row>
    <row r="377">
      <c r="C377" s="61"/>
      <c r="H377" s="61"/>
      <c r="I377" s="61"/>
      <c r="J377" s="61"/>
      <c r="K377" s="61"/>
    </row>
    <row r="378">
      <c r="C378" s="61"/>
      <c r="H378" s="61"/>
      <c r="I378" s="61"/>
      <c r="J378" s="61"/>
      <c r="K378" s="61"/>
    </row>
    <row r="379">
      <c r="C379" s="61"/>
      <c r="H379" s="61"/>
      <c r="I379" s="61"/>
      <c r="J379" s="61"/>
      <c r="K379" s="61"/>
    </row>
    <row r="380">
      <c r="C380" s="61"/>
      <c r="H380" s="61"/>
      <c r="I380" s="61"/>
      <c r="J380" s="61"/>
      <c r="K380" s="61"/>
    </row>
    <row r="381">
      <c r="C381" s="61"/>
      <c r="H381" s="61"/>
      <c r="I381" s="61"/>
      <c r="J381" s="61"/>
      <c r="K381" s="61"/>
    </row>
    <row r="382">
      <c r="C382" s="61"/>
      <c r="H382" s="61"/>
      <c r="I382" s="61"/>
      <c r="J382" s="61"/>
      <c r="K382" s="61"/>
    </row>
    <row r="383">
      <c r="C383" s="61"/>
      <c r="H383" s="61"/>
      <c r="I383" s="61"/>
      <c r="J383" s="61"/>
      <c r="K383" s="61"/>
    </row>
    <row r="384">
      <c r="C384" s="61"/>
      <c r="H384" s="61"/>
      <c r="I384" s="61"/>
      <c r="J384" s="61"/>
      <c r="K384" s="61"/>
    </row>
    <row r="385">
      <c r="C385" s="61"/>
      <c r="H385" s="61"/>
      <c r="I385" s="61"/>
      <c r="J385" s="61"/>
      <c r="K385" s="61"/>
    </row>
    <row r="386">
      <c r="C386" s="61"/>
      <c r="H386" s="61"/>
      <c r="I386" s="61"/>
      <c r="J386" s="61"/>
      <c r="K386" s="61"/>
    </row>
    <row r="387">
      <c r="C387" s="61"/>
      <c r="H387" s="61"/>
      <c r="I387" s="61"/>
      <c r="J387" s="61"/>
      <c r="K387" s="61"/>
    </row>
    <row r="388">
      <c r="C388" s="61"/>
      <c r="H388" s="61"/>
      <c r="I388" s="61"/>
      <c r="J388" s="61"/>
      <c r="K388" s="61"/>
    </row>
    <row r="389">
      <c r="C389" s="61"/>
      <c r="H389" s="61"/>
      <c r="I389" s="61"/>
      <c r="J389" s="61"/>
      <c r="K389" s="61"/>
    </row>
    <row r="390">
      <c r="C390" s="61"/>
      <c r="H390" s="61"/>
      <c r="I390" s="61"/>
      <c r="J390" s="61"/>
      <c r="K390" s="61"/>
    </row>
    <row r="391">
      <c r="C391" s="61"/>
      <c r="H391" s="61"/>
      <c r="I391" s="61"/>
      <c r="J391" s="61"/>
      <c r="K391" s="61"/>
    </row>
    <row r="392">
      <c r="C392" s="61"/>
      <c r="H392" s="61"/>
      <c r="I392" s="61"/>
      <c r="J392" s="61"/>
      <c r="K392" s="61"/>
    </row>
    <row r="393">
      <c r="C393" s="61"/>
      <c r="H393" s="61"/>
      <c r="I393" s="61"/>
      <c r="J393" s="61"/>
      <c r="K393" s="61"/>
    </row>
    <row r="394">
      <c r="C394" s="61"/>
      <c r="H394" s="61"/>
      <c r="I394" s="61"/>
      <c r="J394" s="61"/>
      <c r="K394" s="61"/>
    </row>
    <row r="395">
      <c r="C395" s="61"/>
      <c r="H395" s="61"/>
      <c r="I395" s="61"/>
      <c r="J395" s="61"/>
      <c r="K395" s="61"/>
    </row>
    <row r="396">
      <c r="C396" s="61"/>
      <c r="H396" s="61"/>
      <c r="I396" s="61"/>
      <c r="J396" s="61"/>
      <c r="K396" s="61"/>
    </row>
    <row r="397">
      <c r="C397" s="61"/>
      <c r="H397" s="61"/>
      <c r="I397" s="61"/>
      <c r="J397" s="61"/>
      <c r="K397" s="61"/>
    </row>
    <row r="398">
      <c r="C398" s="61"/>
      <c r="H398" s="61"/>
      <c r="I398" s="61"/>
      <c r="J398" s="61"/>
      <c r="K398" s="61"/>
    </row>
    <row r="399">
      <c r="C399" s="61"/>
      <c r="H399" s="61"/>
      <c r="I399" s="61"/>
      <c r="J399" s="61"/>
      <c r="K399" s="61"/>
    </row>
    <row r="400">
      <c r="C400" s="61"/>
      <c r="H400" s="61"/>
      <c r="I400" s="61"/>
      <c r="J400" s="61"/>
      <c r="K400" s="61"/>
    </row>
    <row r="401">
      <c r="C401" s="61"/>
      <c r="H401" s="61"/>
      <c r="I401" s="61"/>
      <c r="J401" s="61"/>
      <c r="K401" s="61"/>
    </row>
    <row r="402">
      <c r="C402" s="61"/>
      <c r="H402" s="61"/>
      <c r="I402" s="61"/>
      <c r="J402" s="61"/>
      <c r="K402" s="61"/>
    </row>
    <row r="403">
      <c r="C403" s="61"/>
      <c r="H403" s="61"/>
      <c r="I403" s="61"/>
      <c r="J403" s="61"/>
      <c r="K403" s="61"/>
    </row>
    <row r="404">
      <c r="C404" s="61"/>
      <c r="H404" s="61"/>
      <c r="I404" s="61"/>
      <c r="J404" s="61"/>
      <c r="K404" s="61"/>
    </row>
    <row r="405">
      <c r="C405" s="61"/>
      <c r="H405" s="61"/>
      <c r="I405" s="61"/>
      <c r="J405" s="61"/>
      <c r="K405" s="61"/>
    </row>
    <row r="406">
      <c r="C406" s="61"/>
      <c r="H406" s="61"/>
      <c r="I406" s="61"/>
      <c r="J406" s="61"/>
      <c r="K406" s="61"/>
    </row>
    <row r="407">
      <c r="C407" s="61"/>
      <c r="H407" s="61"/>
      <c r="I407" s="61"/>
      <c r="J407" s="61"/>
      <c r="K407" s="61"/>
    </row>
    <row r="408">
      <c r="C408" s="61"/>
      <c r="H408" s="61"/>
      <c r="I408" s="61"/>
      <c r="J408" s="61"/>
      <c r="K408" s="61"/>
    </row>
    <row r="409">
      <c r="C409" s="61"/>
      <c r="H409" s="61"/>
      <c r="I409" s="61"/>
      <c r="J409" s="61"/>
      <c r="K409" s="61"/>
    </row>
    <row r="410">
      <c r="C410" s="61"/>
      <c r="H410" s="61"/>
      <c r="I410" s="61"/>
      <c r="J410" s="61"/>
      <c r="K410" s="61"/>
    </row>
    <row r="411">
      <c r="C411" s="61"/>
      <c r="H411" s="61"/>
      <c r="I411" s="61"/>
      <c r="J411" s="61"/>
      <c r="K411" s="61"/>
    </row>
    <row r="412">
      <c r="C412" s="61"/>
      <c r="H412" s="61"/>
      <c r="I412" s="61"/>
      <c r="J412" s="61"/>
      <c r="K412" s="61"/>
    </row>
    <row r="413">
      <c r="C413" s="61"/>
      <c r="H413" s="61"/>
      <c r="I413" s="61"/>
      <c r="J413" s="61"/>
      <c r="K413" s="61"/>
    </row>
    <row r="414">
      <c r="C414" s="61"/>
      <c r="H414" s="61"/>
      <c r="I414" s="61"/>
      <c r="J414" s="61"/>
      <c r="K414" s="61"/>
    </row>
    <row r="415">
      <c r="C415" s="61"/>
      <c r="H415" s="61"/>
      <c r="I415" s="61"/>
      <c r="J415" s="61"/>
      <c r="K415" s="61"/>
    </row>
    <row r="416">
      <c r="C416" s="61"/>
      <c r="H416" s="61"/>
      <c r="I416" s="61"/>
      <c r="J416" s="61"/>
      <c r="K416" s="61"/>
    </row>
    <row r="417">
      <c r="C417" s="61"/>
      <c r="H417" s="61"/>
      <c r="I417" s="61"/>
      <c r="J417" s="61"/>
      <c r="K417" s="61"/>
    </row>
    <row r="418">
      <c r="C418" s="61"/>
      <c r="H418" s="61"/>
      <c r="I418" s="61"/>
      <c r="J418" s="61"/>
      <c r="K418" s="61"/>
    </row>
    <row r="419">
      <c r="C419" s="61"/>
      <c r="H419" s="61"/>
      <c r="I419" s="61"/>
      <c r="J419" s="61"/>
      <c r="K419" s="61"/>
    </row>
    <row r="420">
      <c r="C420" s="61"/>
      <c r="H420" s="61"/>
      <c r="I420" s="61"/>
      <c r="J420" s="61"/>
      <c r="K420" s="61"/>
    </row>
    <row r="421">
      <c r="C421" s="61"/>
      <c r="H421" s="61"/>
      <c r="I421" s="61"/>
      <c r="J421" s="61"/>
      <c r="K421" s="61"/>
    </row>
    <row r="422">
      <c r="C422" s="61"/>
      <c r="H422" s="61"/>
      <c r="I422" s="61"/>
      <c r="J422" s="61"/>
      <c r="K422" s="61"/>
    </row>
    <row r="423">
      <c r="C423" s="61"/>
      <c r="H423" s="61"/>
      <c r="I423" s="61"/>
      <c r="J423" s="61"/>
      <c r="K423" s="61"/>
    </row>
    <row r="424">
      <c r="C424" s="61"/>
      <c r="H424" s="61"/>
      <c r="I424" s="61"/>
      <c r="J424" s="61"/>
      <c r="K424" s="61"/>
    </row>
    <row r="425">
      <c r="C425" s="61"/>
      <c r="H425" s="61"/>
      <c r="I425" s="61"/>
      <c r="J425" s="61"/>
      <c r="K425" s="61"/>
    </row>
    <row r="426">
      <c r="C426" s="61"/>
      <c r="H426" s="61"/>
      <c r="I426" s="61"/>
      <c r="J426" s="61"/>
      <c r="K426" s="61"/>
    </row>
    <row r="427">
      <c r="C427" s="61"/>
      <c r="H427" s="61"/>
      <c r="I427" s="61"/>
      <c r="J427" s="61"/>
      <c r="K427" s="61"/>
    </row>
    <row r="428">
      <c r="C428" s="61"/>
      <c r="H428" s="61"/>
      <c r="I428" s="61"/>
      <c r="J428" s="61"/>
      <c r="K428" s="61"/>
    </row>
    <row r="429">
      <c r="C429" s="61"/>
      <c r="H429" s="61"/>
      <c r="I429" s="61"/>
      <c r="J429" s="61"/>
      <c r="K429" s="61"/>
    </row>
    <row r="430">
      <c r="C430" s="61"/>
      <c r="H430" s="61"/>
      <c r="I430" s="61"/>
      <c r="J430" s="61"/>
      <c r="K430" s="61"/>
    </row>
    <row r="431">
      <c r="C431" s="61"/>
      <c r="H431" s="61"/>
      <c r="I431" s="61"/>
      <c r="J431" s="61"/>
      <c r="K431" s="61"/>
    </row>
    <row r="432">
      <c r="C432" s="61"/>
      <c r="H432" s="61"/>
      <c r="I432" s="61"/>
      <c r="J432" s="61"/>
      <c r="K432" s="61"/>
    </row>
    <row r="433">
      <c r="C433" s="61"/>
      <c r="H433" s="61"/>
      <c r="I433" s="61"/>
      <c r="J433" s="61"/>
      <c r="K433" s="61"/>
    </row>
    <row r="434">
      <c r="C434" s="61"/>
      <c r="H434" s="61"/>
      <c r="I434" s="61"/>
      <c r="J434" s="61"/>
      <c r="K434" s="61"/>
    </row>
    <row r="435">
      <c r="C435" s="61"/>
      <c r="H435" s="61"/>
      <c r="I435" s="61"/>
      <c r="J435" s="61"/>
      <c r="K435" s="61"/>
    </row>
    <row r="436">
      <c r="C436" s="61"/>
      <c r="H436" s="61"/>
      <c r="I436" s="61"/>
      <c r="J436" s="61"/>
      <c r="K436" s="61"/>
    </row>
    <row r="437">
      <c r="C437" s="61"/>
      <c r="H437" s="61"/>
      <c r="I437" s="61"/>
      <c r="J437" s="61"/>
      <c r="K437" s="61"/>
    </row>
    <row r="438">
      <c r="C438" s="61"/>
      <c r="H438" s="61"/>
      <c r="I438" s="61"/>
      <c r="J438" s="61"/>
      <c r="K438" s="61"/>
    </row>
    <row r="439">
      <c r="C439" s="61"/>
      <c r="H439" s="61"/>
      <c r="I439" s="61"/>
      <c r="J439" s="61"/>
      <c r="K439" s="61"/>
    </row>
    <row r="440">
      <c r="C440" s="61"/>
      <c r="H440" s="61"/>
      <c r="I440" s="61"/>
      <c r="J440" s="61"/>
      <c r="K440" s="61"/>
    </row>
    <row r="441">
      <c r="C441" s="61"/>
      <c r="H441" s="61"/>
      <c r="I441" s="61"/>
      <c r="J441" s="61"/>
      <c r="K441" s="61"/>
    </row>
    <row r="442">
      <c r="C442" s="61"/>
      <c r="H442" s="61"/>
      <c r="I442" s="61"/>
      <c r="J442" s="61"/>
      <c r="K442" s="61"/>
    </row>
    <row r="443">
      <c r="C443" s="61"/>
      <c r="H443" s="61"/>
      <c r="I443" s="61"/>
      <c r="J443" s="61"/>
      <c r="K443" s="61"/>
    </row>
    <row r="444">
      <c r="C444" s="61"/>
      <c r="H444" s="61"/>
      <c r="I444" s="61"/>
      <c r="J444" s="61"/>
      <c r="K444" s="61"/>
    </row>
    <row r="445">
      <c r="C445" s="61"/>
      <c r="H445" s="61"/>
      <c r="I445" s="61"/>
      <c r="J445" s="61"/>
      <c r="K445" s="61"/>
    </row>
    <row r="446">
      <c r="C446" s="61"/>
      <c r="H446" s="61"/>
      <c r="I446" s="61"/>
      <c r="J446" s="61"/>
      <c r="K446" s="61"/>
    </row>
    <row r="447">
      <c r="C447" s="61"/>
      <c r="H447" s="61"/>
      <c r="I447" s="61"/>
      <c r="J447" s="61"/>
      <c r="K447" s="61"/>
    </row>
    <row r="448">
      <c r="C448" s="61"/>
      <c r="H448" s="61"/>
      <c r="I448" s="61"/>
      <c r="J448" s="61"/>
      <c r="K448" s="61"/>
    </row>
    <row r="449">
      <c r="C449" s="61"/>
      <c r="H449" s="61"/>
      <c r="I449" s="61"/>
      <c r="J449" s="61"/>
      <c r="K449" s="61"/>
    </row>
    <row r="450">
      <c r="C450" s="61"/>
      <c r="H450" s="61"/>
      <c r="I450" s="61"/>
      <c r="J450" s="61"/>
      <c r="K450" s="61"/>
    </row>
    <row r="451">
      <c r="C451" s="61"/>
      <c r="H451" s="61"/>
      <c r="I451" s="61"/>
      <c r="J451" s="61"/>
      <c r="K451" s="61"/>
    </row>
    <row r="452">
      <c r="C452" s="61"/>
      <c r="H452" s="61"/>
      <c r="I452" s="61"/>
      <c r="J452" s="61"/>
      <c r="K452" s="61"/>
    </row>
    <row r="453">
      <c r="C453" s="61"/>
      <c r="H453" s="61"/>
      <c r="I453" s="61"/>
      <c r="J453" s="61"/>
      <c r="K453" s="61"/>
    </row>
    <row r="454">
      <c r="C454" s="61"/>
      <c r="H454" s="61"/>
      <c r="I454" s="61"/>
      <c r="J454" s="61"/>
      <c r="K454" s="61"/>
    </row>
    <row r="455">
      <c r="C455" s="61"/>
      <c r="H455" s="61"/>
      <c r="I455" s="61"/>
      <c r="J455" s="61"/>
      <c r="K455" s="61"/>
    </row>
    <row r="456">
      <c r="C456" s="61"/>
      <c r="H456" s="61"/>
      <c r="I456" s="61"/>
      <c r="J456" s="61"/>
      <c r="K456" s="61"/>
    </row>
    <row r="457">
      <c r="C457" s="61"/>
      <c r="H457" s="61"/>
      <c r="I457" s="61"/>
      <c r="J457" s="61"/>
      <c r="K457" s="61"/>
    </row>
    <row r="458">
      <c r="C458" s="61"/>
      <c r="H458" s="61"/>
      <c r="I458" s="61"/>
      <c r="J458" s="61"/>
      <c r="K458" s="61"/>
    </row>
    <row r="459">
      <c r="C459" s="61"/>
      <c r="H459" s="61"/>
      <c r="I459" s="61"/>
      <c r="J459" s="61"/>
      <c r="K459" s="61"/>
    </row>
    <row r="460">
      <c r="C460" s="61"/>
      <c r="H460" s="61"/>
      <c r="I460" s="61"/>
      <c r="J460" s="61"/>
      <c r="K460" s="61"/>
    </row>
    <row r="461">
      <c r="C461" s="61"/>
      <c r="H461" s="61"/>
      <c r="I461" s="61"/>
      <c r="J461" s="61"/>
      <c r="K461" s="61"/>
    </row>
    <row r="462">
      <c r="C462" s="61"/>
      <c r="H462" s="61"/>
      <c r="I462" s="61"/>
      <c r="J462" s="61"/>
      <c r="K462" s="61"/>
    </row>
    <row r="463">
      <c r="C463" s="61"/>
      <c r="H463" s="61"/>
      <c r="I463" s="61"/>
      <c r="J463" s="61"/>
      <c r="K463" s="61"/>
    </row>
    <row r="464">
      <c r="C464" s="61"/>
      <c r="H464" s="61"/>
      <c r="I464" s="61"/>
      <c r="J464" s="61"/>
      <c r="K464" s="61"/>
    </row>
    <row r="465">
      <c r="C465" s="61"/>
      <c r="H465" s="61"/>
      <c r="I465" s="61"/>
      <c r="J465" s="61"/>
      <c r="K465" s="61"/>
    </row>
    <row r="466">
      <c r="C466" s="61"/>
      <c r="H466" s="61"/>
      <c r="I466" s="61"/>
      <c r="J466" s="61"/>
      <c r="K466" s="61"/>
    </row>
    <row r="467">
      <c r="C467" s="61"/>
      <c r="H467" s="61"/>
      <c r="I467" s="61"/>
      <c r="J467" s="61"/>
      <c r="K467" s="61"/>
    </row>
    <row r="468">
      <c r="C468" s="61"/>
      <c r="H468" s="61"/>
      <c r="I468" s="61"/>
      <c r="J468" s="61"/>
      <c r="K468" s="61"/>
    </row>
    <row r="469">
      <c r="C469" s="61"/>
      <c r="H469" s="61"/>
      <c r="I469" s="61"/>
      <c r="J469" s="61"/>
      <c r="K469" s="61"/>
    </row>
    <row r="470">
      <c r="C470" s="61"/>
      <c r="H470" s="61"/>
      <c r="I470" s="61"/>
      <c r="J470" s="61"/>
      <c r="K470" s="61"/>
    </row>
    <row r="471">
      <c r="C471" s="61"/>
      <c r="H471" s="61"/>
      <c r="I471" s="61"/>
      <c r="J471" s="61"/>
      <c r="K471" s="61"/>
    </row>
    <row r="472">
      <c r="C472" s="61"/>
      <c r="H472" s="61"/>
      <c r="I472" s="61"/>
      <c r="J472" s="61"/>
      <c r="K472" s="61"/>
    </row>
    <row r="473">
      <c r="C473" s="61"/>
      <c r="H473" s="61"/>
      <c r="I473" s="61"/>
      <c r="J473" s="61"/>
      <c r="K473" s="61"/>
    </row>
    <row r="474">
      <c r="C474" s="61"/>
      <c r="H474" s="61"/>
      <c r="I474" s="61"/>
      <c r="J474" s="61"/>
      <c r="K474" s="61"/>
    </row>
    <row r="475">
      <c r="C475" s="61"/>
      <c r="H475" s="61"/>
      <c r="I475" s="61"/>
      <c r="J475" s="61"/>
      <c r="K475" s="61"/>
    </row>
    <row r="476">
      <c r="C476" s="61"/>
      <c r="H476" s="61"/>
      <c r="I476" s="61"/>
      <c r="J476" s="61"/>
      <c r="K476" s="61"/>
    </row>
    <row r="477">
      <c r="C477" s="61"/>
      <c r="H477" s="61"/>
      <c r="I477" s="61"/>
      <c r="J477" s="61"/>
      <c r="K477" s="61"/>
    </row>
    <row r="478">
      <c r="C478" s="61"/>
      <c r="H478" s="61"/>
      <c r="I478" s="61"/>
      <c r="J478" s="61"/>
      <c r="K478" s="61"/>
    </row>
    <row r="479">
      <c r="C479" s="61"/>
      <c r="H479" s="61"/>
      <c r="I479" s="61"/>
      <c r="J479" s="61"/>
      <c r="K479" s="61"/>
    </row>
    <row r="480">
      <c r="C480" s="61"/>
      <c r="H480" s="61"/>
      <c r="I480" s="61"/>
      <c r="J480" s="61"/>
      <c r="K480" s="61"/>
    </row>
    <row r="481">
      <c r="C481" s="61"/>
      <c r="H481" s="61"/>
      <c r="I481" s="61"/>
      <c r="J481" s="61"/>
      <c r="K481" s="61"/>
    </row>
    <row r="482">
      <c r="C482" s="61"/>
      <c r="H482" s="61"/>
      <c r="I482" s="61"/>
      <c r="J482" s="61"/>
      <c r="K482" s="61"/>
    </row>
    <row r="483">
      <c r="C483" s="61"/>
      <c r="H483" s="61"/>
      <c r="I483" s="61"/>
      <c r="J483" s="61"/>
      <c r="K483" s="61"/>
    </row>
    <row r="484">
      <c r="C484" s="61"/>
      <c r="H484" s="61"/>
      <c r="I484" s="61"/>
      <c r="J484" s="61"/>
      <c r="K484" s="61"/>
    </row>
    <row r="485">
      <c r="C485" s="61"/>
      <c r="H485" s="61"/>
      <c r="I485" s="61"/>
      <c r="J485" s="61"/>
      <c r="K485" s="61"/>
    </row>
    <row r="486">
      <c r="C486" s="61"/>
      <c r="H486" s="61"/>
      <c r="I486" s="61"/>
      <c r="J486" s="61"/>
      <c r="K486" s="61"/>
    </row>
    <row r="487">
      <c r="C487" s="61"/>
      <c r="H487" s="61"/>
      <c r="I487" s="61"/>
      <c r="J487" s="61"/>
      <c r="K487" s="61"/>
    </row>
    <row r="488">
      <c r="C488" s="61"/>
      <c r="H488" s="61"/>
      <c r="I488" s="61"/>
      <c r="J488" s="61"/>
      <c r="K488" s="61"/>
    </row>
    <row r="489">
      <c r="C489" s="61"/>
      <c r="H489" s="61"/>
      <c r="I489" s="61"/>
      <c r="J489" s="61"/>
      <c r="K489" s="61"/>
    </row>
    <row r="490">
      <c r="C490" s="61"/>
      <c r="H490" s="61"/>
      <c r="I490" s="61"/>
      <c r="J490" s="61"/>
      <c r="K490" s="61"/>
    </row>
    <row r="491">
      <c r="C491" s="61"/>
      <c r="H491" s="61"/>
      <c r="I491" s="61"/>
      <c r="J491" s="61"/>
      <c r="K491" s="61"/>
    </row>
    <row r="492">
      <c r="C492" s="61"/>
      <c r="H492" s="61"/>
      <c r="I492" s="61"/>
      <c r="J492" s="61"/>
      <c r="K492" s="61"/>
    </row>
    <row r="493">
      <c r="C493" s="61"/>
      <c r="H493" s="61"/>
      <c r="I493" s="61"/>
      <c r="J493" s="61"/>
      <c r="K493" s="61"/>
    </row>
    <row r="494">
      <c r="C494" s="61"/>
      <c r="H494" s="61"/>
      <c r="I494" s="61"/>
      <c r="J494" s="61"/>
      <c r="K494" s="61"/>
    </row>
    <row r="495">
      <c r="C495" s="61"/>
      <c r="H495" s="61"/>
      <c r="I495" s="61"/>
      <c r="J495" s="61"/>
      <c r="K495" s="61"/>
    </row>
    <row r="496">
      <c r="C496" s="61"/>
      <c r="H496" s="61"/>
      <c r="I496" s="61"/>
      <c r="J496" s="61"/>
      <c r="K496" s="61"/>
    </row>
    <row r="497">
      <c r="C497" s="61"/>
      <c r="H497" s="61"/>
      <c r="I497" s="61"/>
      <c r="J497" s="61"/>
      <c r="K497" s="61"/>
    </row>
    <row r="498">
      <c r="C498" s="61"/>
      <c r="H498" s="61"/>
      <c r="I498" s="61"/>
      <c r="J498" s="61"/>
      <c r="K498" s="61"/>
    </row>
    <row r="499">
      <c r="C499" s="61"/>
      <c r="H499" s="61"/>
      <c r="I499" s="61"/>
      <c r="J499" s="61"/>
      <c r="K499" s="61"/>
    </row>
    <row r="500">
      <c r="C500" s="61"/>
      <c r="H500" s="61"/>
      <c r="I500" s="61"/>
      <c r="J500" s="61"/>
      <c r="K500" s="61"/>
    </row>
    <row r="501">
      <c r="C501" s="61"/>
      <c r="H501" s="61"/>
      <c r="I501" s="61"/>
      <c r="J501" s="61"/>
      <c r="K501" s="61"/>
    </row>
    <row r="502">
      <c r="C502" s="61"/>
      <c r="H502" s="61"/>
      <c r="I502" s="61"/>
      <c r="J502" s="61"/>
      <c r="K502" s="61"/>
    </row>
    <row r="503">
      <c r="C503" s="61"/>
      <c r="H503" s="61"/>
      <c r="I503" s="61"/>
      <c r="J503" s="61"/>
      <c r="K503" s="61"/>
    </row>
    <row r="504">
      <c r="C504" s="61"/>
      <c r="H504" s="61"/>
      <c r="I504" s="61"/>
      <c r="J504" s="61"/>
      <c r="K504" s="61"/>
    </row>
    <row r="505">
      <c r="C505" s="61"/>
      <c r="H505" s="61"/>
      <c r="I505" s="61"/>
      <c r="J505" s="61"/>
      <c r="K505" s="61"/>
    </row>
    <row r="506">
      <c r="C506" s="61"/>
      <c r="H506" s="61"/>
      <c r="I506" s="61"/>
      <c r="J506" s="61"/>
      <c r="K506" s="61"/>
    </row>
    <row r="507">
      <c r="C507" s="61"/>
      <c r="H507" s="61"/>
      <c r="I507" s="61"/>
      <c r="J507" s="61"/>
      <c r="K507" s="61"/>
    </row>
    <row r="508">
      <c r="C508" s="61"/>
      <c r="H508" s="61"/>
      <c r="I508" s="61"/>
      <c r="J508" s="61"/>
      <c r="K508" s="61"/>
    </row>
    <row r="509">
      <c r="C509" s="61"/>
      <c r="H509" s="61"/>
      <c r="I509" s="61"/>
      <c r="J509" s="61"/>
      <c r="K509" s="61"/>
    </row>
    <row r="510">
      <c r="C510" s="61"/>
      <c r="H510" s="61"/>
      <c r="I510" s="61"/>
      <c r="J510" s="61"/>
      <c r="K510" s="61"/>
    </row>
    <row r="511">
      <c r="C511" s="61"/>
      <c r="H511" s="61"/>
      <c r="I511" s="61"/>
      <c r="J511" s="61"/>
      <c r="K511" s="61"/>
    </row>
    <row r="512">
      <c r="C512" s="61"/>
      <c r="H512" s="61"/>
      <c r="I512" s="61"/>
      <c r="J512" s="61"/>
      <c r="K512" s="61"/>
    </row>
    <row r="513">
      <c r="C513" s="61"/>
      <c r="H513" s="61"/>
      <c r="I513" s="61"/>
      <c r="J513" s="61"/>
      <c r="K513" s="61"/>
    </row>
    <row r="514">
      <c r="C514" s="61"/>
      <c r="H514" s="61"/>
      <c r="I514" s="61"/>
      <c r="J514" s="61"/>
      <c r="K514" s="61"/>
    </row>
    <row r="515">
      <c r="C515" s="61"/>
      <c r="H515" s="61"/>
      <c r="I515" s="61"/>
      <c r="J515" s="61"/>
      <c r="K515" s="61"/>
    </row>
    <row r="516">
      <c r="C516" s="61"/>
      <c r="H516" s="61"/>
      <c r="I516" s="61"/>
      <c r="J516" s="61"/>
      <c r="K516" s="61"/>
    </row>
    <row r="517">
      <c r="C517" s="61"/>
      <c r="H517" s="61"/>
      <c r="I517" s="61"/>
      <c r="J517" s="61"/>
      <c r="K517" s="61"/>
    </row>
    <row r="518">
      <c r="C518" s="61"/>
      <c r="H518" s="61"/>
      <c r="I518" s="61"/>
      <c r="J518" s="61"/>
      <c r="K518" s="61"/>
    </row>
    <row r="519">
      <c r="C519" s="61"/>
      <c r="H519" s="61"/>
      <c r="I519" s="61"/>
      <c r="J519" s="61"/>
      <c r="K519" s="61"/>
    </row>
    <row r="520">
      <c r="C520" s="61"/>
      <c r="H520" s="61"/>
      <c r="I520" s="61"/>
      <c r="J520" s="61"/>
      <c r="K520" s="61"/>
    </row>
    <row r="521">
      <c r="C521" s="61"/>
      <c r="H521" s="61"/>
      <c r="I521" s="61"/>
      <c r="J521" s="61"/>
      <c r="K521" s="61"/>
    </row>
    <row r="522">
      <c r="C522" s="61"/>
      <c r="H522" s="61"/>
      <c r="I522" s="61"/>
      <c r="J522" s="61"/>
      <c r="K522" s="61"/>
    </row>
    <row r="523">
      <c r="C523" s="61"/>
      <c r="H523" s="61"/>
      <c r="I523" s="61"/>
      <c r="J523" s="61"/>
      <c r="K523" s="61"/>
    </row>
    <row r="524">
      <c r="C524" s="61"/>
      <c r="H524" s="61"/>
      <c r="I524" s="61"/>
      <c r="J524" s="61"/>
      <c r="K524" s="61"/>
    </row>
    <row r="525">
      <c r="C525" s="61"/>
      <c r="H525" s="61"/>
      <c r="I525" s="61"/>
      <c r="J525" s="61"/>
      <c r="K525" s="61"/>
    </row>
    <row r="526">
      <c r="C526" s="61"/>
      <c r="H526" s="61"/>
      <c r="I526" s="61"/>
      <c r="J526" s="61"/>
      <c r="K526" s="61"/>
    </row>
    <row r="527">
      <c r="C527" s="61"/>
      <c r="H527" s="61"/>
      <c r="I527" s="61"/>
      <c r="J527" s="61"/>
      <c r="K527" s="61"/>
    </row>
    <row r="528">
      <c r="C528" s="61"/>
      <c r="H528" s="61"/>
      <c r="I528" s="61"/>
      <c r="J528" s="61"/>
      <c r="K528" s="61"/>
    </row>
    <row r="529">
      <c r="C529" s="61"/>
      <c r="H529" s="61"/>
      <c r="I529" s="61"/>
      <c r="J529" s="61"/>
      <c r="K529" s="61"/>
    </row>
    <row r="530">
      <c r="C530" s="61"/>
      <c r="H530" s="61"/>
      <c r="I530" s="61"/>
      <c r="J530" s="61"/>
      <c r="K530" s="61"/>
    </row>
    <row r="531">
      <c r="C531" s="61"/>
      <c r="H531" s="61"/>
      <c r="I531" s="61"/>
      <c r="J531" s="61"/>
      <c r="K531" s="61"/>
    </row>
    <row r="532">
      <c r="C532" s="61"/>
      <c r="H532" s="61"/>
      <c r="I532" s="61"/>
      <c r="J532" s="61"/>
      <c r="K532" s="61"/>
    </row>
    <row r="533">
      <c r="C533" s="61"/>
      <c r="H533" s="61"/>
      <c r="I533" s="61"/>
      <c r="J533" s="61"/>
      <c r="K533" s="61"/>
    </row>
    <row r="534">
      <c r="C534" s="61"/>
      <c r="H534" s="61"/>
      <c r="I534" s="61"/>
      <c r="J534" s="61"/>
      <c r="K534" s="61"/>
    </row>
    <row r="535">
      <c r="C535" s="61"/>
      <c r="H535" s="61"/>
      <c r="I535" s="61"/>
      <c r="J535" s="61"/>
      <c r="K535" s="61"/>
    </row>
    <row r="536">
      <c r="C536" s="61"/>
      <c r="H536" s="61"/>
      <c r="I536" s="61"/>
      <c r="J536" s="61"/>
      <c r="K536" s="61"/>
    </row>
    <row r="537">
      <c r="C537" s="61"/>
      <c r="H537" s="61"/>
      <c r="I537" s="61"/>
      <c r="J537" s="61"/>
      <c r="K537" s="61"/>
    </row>
    <row r="538">
      <c r="C538" s="61"/>
      <c r="H538" s="61"/>
      <c r="I538" s="61"/>
      <c r="J538" s="61"/>
      <c r="K538" s="61"/>
    </row>
    <row r="539">
      <c r="C539" s="61"/>
      <c r="H539" s="61"/>
      <c r="I539" s="61"/>
      <c r="J539" s="61"/>
      <c r="K539" s="61"/>
    </row>
    <row r="540">
      <c r="C540" s="61"/>
      <c r="H540" s="61"/>
      <c r="I540" s="61"/>
      <c r="J540" s="61"/>
      <c r="K540" s="61"/>
    </row>
    <row r="541">
      <c r="C541" s="61"/>
      <c r="H541" s="61"/>
      <c r="I541" s="61"/>
      <c r="J541" s="61"/>
      <c r="K541" s="61"/>
    </row>
    <row r="542">
      <c r="C542" s="61"/>
      <c r="H542" s="61"/>
      <c r="I542" s="61"/>
      <c r="J542" s="61"/>
      <c r="K542" s="61"/>
    </row>
    <row r="543">
      <c r="C543" s="61"/>
      <c r="H543" s="61"/>
      <c r="I543" s="61"/>
      <c r="J543" s="61"/>
      <c r="K543" s="61"/>
    </row>
    <row r="544">
      <c r="C544" s="61"/>
      <c r="H544" s="61"/>
      <c r="I544" s="61"/>
      <c r="J544" s="61"/>
      <c r="K544" s="61"/>
    </row>
    <row r="545">
      <c r="C545" s="61"/>
      <c r="H545" s="61"/>
      <c r="I545" s="61"/>
      <c r="J545" s="61"/>
      <c r="K545" s="61"/>
    </row>
    <row r="546">
      <c r="C546" s="61"/>
      <c r="H546" s="61"/>
      <c r="I546" s="61"/>
      <c r="J546" s="61"/>
      <c r="K546" s="61"/>
    </row>
    <row r="547">
      <c r="C547" s="61"/>
      <c r="H547" s="61"/>
      <c r="I547" s="61"/>
      <c r="J547" s="61"/>
      <c r="K547" s="61"/>
    </row>
    <row r="548">
      <c r="C548" s="61"/>
      <c r="H548" s="61"/>
      <c r="I548" s="61"/>
      <c r="J548" s="61"/>
      <c r="K548" s="61"/>
    </row>
    <row r="549">
      <c r="C549" s="61"/>
      <c r="H549" s="61"/>
      <c r="I549" s="61"/>
      <c r="J549" s="61"/>
      <c r="K549" s="61"/>
    </row>
    <row r="550">
      <c r="C550" s="61"/>
      <c r="H550" s="61"/>
      <c r="I550" s="61"/>
      <c r="J550" s="61"/>
      <c r="K550" s="61"/>
    </row>
    <row r="551">
      <c r="C551" s="61"/>
      <c r="H551" s="61"/>
      <c r="I551" s="61"/>
      <c r="J551" s="61"/>
      <c r="K551" s="61"/>
    </row>
    <row r="552">
      <c r="C552" s="61"/>
      <c r="H552" s="61"/>
      <c r="I552" s="61"/>
      <c r="J552" s="61"/>
      <c r="K552" s="61"/>
    </row>
    <row r="553">
      <c r="C553" s="61"/>
      <c r="H553" s="61"/>
      <c r="I553" s="61"/>
      <c r="J553" s="61"/>
      <c r="K553" s="61"/>
    </row>
    <row r="554">
      <c r="C554" s="61"/>
      <c r="H554" s="61"/>
      <c r="I554" s="61"/>
      <c r="J554" s="61"/>
      <c r="K554" s="61"/>
    </row>
    <row r="555">
      <c r="C555" s="61"/>
      <c r="H555" s="61"/>
      <c r="I555" s="61"/>
      <c r="J555" s="61"/>
      <c r="K555" s="61"/>
    </row>
    <row r="556">
      <c r="C556" s="61"/>
      <c r="H556" s="61"/>
      <c r="I556" s="61"/>
      <c r="J556" s="61"/>
      <c r="K556" s="61"/>
    </row>
    <row r="557">
      <c r="C557" s="61"/>
      <c r="H557" s="61"/>
      <c r="I557" s="61"/>
      <c r="J557" s="61"/>
      <c r="K557" s="61"/>
    </row>
    <row r="558">
      <c r="C558" s="61"/>
      <c r="H558" s="61"/>
      <c r="I558" s="61"/>
      <c r="J558" s="61"/>
      <c r="K558" s="61"/>
    </row>
    <row r="559">
      <c r="C559" s="61"/>
      <c r="H559" s="61"/>
      <c r="I559" s="61"/>
      <c r="J559" s="61"/>
      <c r="K559" s="61"/>
    </row>
    <row r="560">
      <c r="C560" s="61"/>
      <c r="H560" s="61"/>
      <c r="I560" s="61"/>
      <c r="J560" s="61"/>
      <c r="K560" s="61"/>
    </row>
    <row r="561">
      <c r="C561" s="61"/>
      <c r="H561" s="61"/>
      <c r="I561" s="61"/>
      <c r="J561" s="61"/>
      <c r="K561" s="61"/>
    </row>
    <row r="562">
      <c r="C562" s="61"/>
      <c r="H562" s="61"/>
      <c r="I562" s="61"/>
      <c r="J562" s="61"/>
      <c r="K562" s="61"/>
    </row>
    <row r="563">
      <c r="C563" s="61"/>
      <c r="H563" s="61"/>
      <c r="I563" s="61"/>
      <c r="J563" s="61"/>
      <c r="K563" s="61"/>
    </row>
    <row r="564">
      <c r="C564" s="61"/>
      <c r="H564" s="61"/>
      <c r="I564" s="61"/>
      <c r="J564" s="61"/>
      <c r="K564" s="61"/>
    </row>
    <row r="565">
      <c r="C565" s="61"/>
      <c r="H565" s="61"/>
      <c r="I565" s="61"/>
      <c r="J565" s="61"/>
      <c r="K565" s="61"/>
    </row>
    <row r="566">
      <c r="C566" s="61"/>
      <c r="H566" s="61"/>
      <c r="I566" s="61"/>
      <c r="J566" s="61"/>
      <c r="K566" s="61"/>
    </row>
    <row r="567">
      <c r="C567" s="61"/>
      <c r="H567" s="61"/>
      <c r="I567" s="61"/>
      <c r="J567" s="61"/>
      <c r="K567" s="61"/>
    </row>
    <row r="568">
      <c r="C568" s="61"/>
      <c r="H568" s="61"/>
      <c r="I568" s="61"/>
      <c r="J568" s="61"/>
      <c r="K568" s="61"/>
    </row>
    <row r="569">
      <c r="C569" s="61"/>
      <c r="H569" s="61"/>
      <c r="I569" s="61"/>
      <c r="J569" s="61"/>
      <c r="K569" s="61"/>
    </row>
    <row r="570">
      <c r="C570" s="61"/>
      <c r="H570" s="61"/>
      <c r="I570" s="61"/>
      <c r="J570" s="61"/>
      <c r="K570" s="61"/>
    </row>
    <row r="571">
      <c r="C571" s="61"/>
      <c r="H571" s="61"/>
      <c r="I571" s="61"/>
      <c r="J571" s="61"/>
      <c r="K571" s="61"/>
    </row>
    <row r="572">
      <c r="C572" s="61"/>
      <c r="H572" s="61"/>
      <c r="I572" s="61"/>
      <c r="J572" s="61"/>
      <c r="K572" s="61"/>
    </row>
    <row r="573">
      <c r="C573" s="61"/>
      <c r="H573" s="61"/>
      <c r="I573" s="61"/>
      <c r="J573" s="61"/>
      <c r="K573" s="61"/>
    </row>
    <row r="574">
      <c r="C574" s="61"/>
      <c r="H574" s="61"/>
      <c r="I574" s="61"/>
      <c r="J574" s="61"/>
      <c r="K574" s="61"/>
    </row>
    <row r="575">
      <c r="C575" s="61"/>
      <c r="H575" s="61"/>
      <c r="I575" s="61"/>
      <c r="J575" s="61"/>
      <c r="K575" s="61"/>
    </row>
    <row r="576">
      <c r="C576" s="61"/>
      <c r="H576" s="61"/>
      <c r="I576" s="61"/>
      <c r="J576" s="61"/>
      <c r="K576" s="61"/>
    </row>
    <row r="577">
      <c r="C577" s="61"/>
      <c r="H577" s="61"/>
      <c r="I577" s="61"/>
      <c r="J577" s="61"/>
      <c r="K577" s="61"/>
    </row>
    <row r="578">
      <c r="C578" s="61"/>
      <c r="H578" s="61"/>
      <c r="I578" s="61"/>
      <c r="J578" s="61"/>
      <c r="K578" s="61"/>
    </row>
    <row r="579">
      <c r="C579" s="61"/>
      <c r="H579" s="61"/>
      <c r="I579" s="61"/>
      <c r="J579" s="61"/>
      <c r="K579" s="61"/>
    </row>
    <row r="580">
      <c r="C580" s="61"/>
      <c r="H580" s="61"/>
      <c r="I580" s="61"/>
      <c r="J580" s="61"/>
      <c r="K580" s="61"/>
    </row>
    <row r="581">
      <c r="C581" s="61"/>
      <c r="H581" s="61"/>
      <c r="I581" s="61"/>
      <c r="J581" s="61"/>
      <c r="K581" s="61"/>
    </row>
    <row r="582">
      <c r="C582" s="61"/>
      <c r="H582" s="61"/>
      <c r="I582" s="61"/>
      <c r="J582" s="61"/>
      <c r="K582" s="61"/>
    </row>
    <row r="583">
      <c r="C583" s="61"/>
      <c r="H583" s="61"/>
      <c r="I583" s="61"/>
      <c r="J583" s="61"/>
      <c r="K583" s="61"/>
    </row>
    <row r="584">
      <c r="C584" s="61"/>
      <c r="H584" s="61"/>
      <c r="I584" s="61"/>
      <c r="J584" s="61"/>
      <c r="K584" s="61"/>
    </row>
    <row r="585">
      <c r="C585" s="61"/>
      <c r="H585" s="61"/>
      <c r="I585" s="61"/>
      <c r="J585" s="61"/>
      <c r="K585" s="61"/>
    </row>
    <row r="586">
      <c r="C586" s="61"/>
      <c r="H586" s="61"/>
      <c r="I586" s="61"/>
      <c r="J586" s="61"/>
      <c r="K586" s="61"/>
    </row>
    <row r="587">
      <c r="C587" s="61"/>
      <c r="H587" s="61"/>
      <c r="I587" s="61"/>
      <c r="J587" s="61"/>
      <c r="K587" s="61"/>
    </row>
    <row r="588">
      <c r="C588" s="61"/>
      <c r="H588" s="61"/>
      <c r="I588" s="61"/>
      <c r="J588" s="61"/>
      <c r="K588" s="61"/>
    </row>
    <row r="589">
      <c r="C589" s="61"/>
      <c r="H589" s="61"/>
      <c r="I589" s="61"/>
      <c r="J589" s="61"/>
      <c r="K589" s="61"/>
    </row>
    <row r="590">
      <c r="C590" s="61"/>
      <c r="H590" s="61"/>
      <c r="I590" s="61"/>
      <c r="J590" s="61"/>
      <c r="K590" s="61"/>
    </row>
    <row r="591">
      <c r="C591" s="61"/>
      <c r="H591" s="61"/>
      <c r="I591" s="61"/>
      <c r="J591" s="61"/>
      <c r="K591" s="61"/>
    </row>
    <row r="592">
      <c r="C592" s="61"/>
      <c r="H592" s="61"/>
      <c r="I592" s="61"/>
      <c r="J592" s="61"/>
      <c r="K592" s="61"/>
    </row>
    <row r="593">
      <c r="C593" s="61"/>
      <c r="H593" s="61"/>
      <c r="I593" s="61"/>
      <c r="J593" s="61"/>
      <c r="K593" s="61"/>
    </row>
    <row r="594">
      <c r="C594" s="61"/>
      <c r="H594" s="61"/>
      <c r="I594" s="61"/>
      <c r="J594" s="61"/>
      <c r="K594" s="61"/>
    </row>
    <row r="595">
      <c r="C595" s="61"/>
      <c r="H595" s="61"/>
      <c r="I595" s="61"/>
      <c r="J595" s="61"/>
      <c r="K595" s="61"/>
    </row>
    <row r="596">
      <c r="C596" s="61"/>
      <c r="H596" s="61"/>
      <c r="I596" s="61"/>
      <c r="J596" s="61"/>
      <c r="K596" s="61"/>
    </row>
    <row r="597">
      <c r="C597" s="61"/>
      <c r="H597" s="61"/>
      <c r="I597" s="61"/>
      <c r="J597" s="61"/>
      <c r="K597" s="61"/>
    </row>
    <row r="598">
      <c r="C598" s="61"/>
      <c r="H598" s="61"/>
      <c r="I598" s="61"/>
      <c r="J598" s="61"/>
      <c r="K598" s="61"/>
    </row>
    <row r="599">
      <c r="C599" s="61"/>
      <c r="H599" s="61"/>
      <c r="I599" s="61"/>
      <c r="J599" s="61"/>
      <c r="K599" s="61"/>
    </row>
    <row r="600">
      <c r="C600" s="61"/>
      <c r="H600" s="61"/>
      <c r="I600" s="61"/>
      <c r="J600" s="61"/>
      <c r="K600" s="61"/>
    </row>
    <row r="601">
      <c r="C601" s="61"/>
      <c r="H601" s="61"/>
      <c r="I601" s="61"/>
      <c r="J601" s="61"/>
      <c r="K601" s="61"/>
    </row>
    <row r="602">
      <c r="C602" s="61"/>
      <c r="H602" s="61"/>
      <c r="I602" s="61"/>
      <c r="J602" s="61"/>
      <c r="K602" s="61"/>
    </row>
    <row r="603">
      <c r="C603" s="61"/>
      <c r="H603" s="61"/>
      <c r="I603" s="61"/>
      <c r="J603" s="61"/>
      <c r="K603" s="61"/>
    </row>
    <row r="604">
      <c r="C604" s="61"/>
      <c r="H604" s="61"/>
      <c r="I604" s="61"/>
      <c r="J604" s="61"/>
      <c r="K604" s="61"/>
    </row>
    <row r="605">
      <c r="C605" s="61"/>
      <c r="H605" s="61"/>
      <c r="I605" s="61"/>
      <c r="J605" s="61"/>
      <c r="K605" s="61"/>
    </row>
    <row r="606">
      <c r="C606" s="61"/>
      <c r="H606" s="61"/>
      <c r="I606" s="61"/>
      <c r="J606" s="61"/>
      <c r="K606" s="61"/>
    </row>
    <row r="607">
      <c r="C607" s="61"/>
      <c r="H607" s="61"/>
      <c r="I607" s="61"/>
      <c r="J607" s="61"/>
      <c r="K607" s="61"/>
    </row>
    <row r="608">
      <c r="C608" s="61"/>
      <c r="H608" s="61"/>
      <c r="I608" s="61"/>
      <c r="J608" s="61"/>
      <c r="K608" s="61"/>
    </row>
    <row r="609">
      <c r="C609" s="61"/>
      <c r="H609" s="61"/>
      <c r="I609" s="61"/>
      <c r="J609" s="61"/>
      <c r="K609" s="61"/>
    </row>
    <row r="610">
      <c r="C610" s="61"/>
      <c r="H610" s="61"/>
      <c r="I610" s="61"/>
      <c r="J610" s="61"/>
      <c r="K610" s="61"/>
    </row>
    <row r="611">
      <c r="C611" s="61"/>
      <c r="H611" s="61"/>
      <c r="I611" s="61"/>
      <c r="J611" s="61"/>
      <c r="K611" s="61"/>
    </row>
    <row r="612">
      <c r="C612" s="61"/>
      <c r="H612" s="61"/>
      <c r="I612" s="61"/>
      <c r="J612" s="61"/>
      <c r="K612" s="61"/>
    </row>
    <row r="613">
      <c r="C613" s="61"/>
      <c r="H613" s="61"/>
      <c r="I613" s="61"/>
      <c r="J613" s="61"/>
      <c r="K613" s="61"/>
    </row>
    <row r="614">
      <c r="C614" s="61"/>
      <c r="H614" s="61"/>
      <c r="I614" s="61"/>
      <c r="J614" s="61"/>
      <c r="K614" s="61"/>
    </row>
    <row r="615">
      <c r="C615" s="61"/>
      <c r="H615" s="61"/>
      <c r="I615" s="61"/>
      <c r="J615" s="61"/>
      <c r="K615" s="61"/>
    </row>
    <row r="616">
      <c r="C616" s="61"/>
      <c r="H616" s="61"/>
      <c r="I616" s="61"/>
      <c r="J616" s="61"/>
      <c r="K616" s="61"/>
    </row>
    <row r="617">
      <c r="C617" s="61"/>
      <c r="H617" s="61"/>
      <c r="I617" s="61"/>
      <c r="J617" s="61"/>
      <c r="K617" s="61"/>
    </row>
    <row r="618">
      <c r="C618" s="61"/>
      <c r="H618" s="61"/>
      <c r="I618" s="61"/>
      <c r="J618" s="61"/>
      <c r="K618" s="61"/>
    </row>
    <row r="619">
      <c r="C619" s="61"/>
      <c r="H619" s="61"/>
      <c r="I619" s="61"/>
      <c r="J619" s="61"/>
      <c r="K619" s="61"/>
    </row>
    <row r="620">
      <c r="C620" s="61"/>
      <c r="H620" s="61"/>
      <c r="I620" s="61"/>
      <c r="J620" s="61"/>
      <c r="K620" s="61"/>
    </row>
    <row r="621">
      <c r="C621" s="61"/>
      <c r="H621" s="61"/>
      <c r="I621" s="61"/>
      <c r="J621" s="61"/>
      <c r="K621" s="61"/>
    </row>
    <row r="622">
      <c r="C622" s="61"/>
      <c r="H622" s="61"/>
      <c r="I622" s="61"/>
      <c r="J622" s="61"/>
      <c r="K622" s="61"/>
    </row>
    <row r="623">
      <c r="C623" s="61"/>
      <c r="H623" s="61"/>
      <c r="I623" s="61"/>
      <c r="J623" s="61"/>
      <c r="K623" s="61"/>
    </row>
    <row r="624">
      <c r="C624" s="61"/>
      <c r="H624" s="61"/>
      <c r="I624" s="61"/>
      <c r="J624" s="61"/>
      <c r="K624" s="61"/>
    </row>
    <row r="625">
      <c r="C625" s="61"/>
      <c r="H625" s="61"/>
      <c r="I625" s="61"/>
      <c r="J625" s="61"/>
      <c r="K625" s="61"/>
    </row>
    <row r="626">
      <c r="C626" s="61"/>
      <c r="H626" s="61"/>
      <c r="I626" s="61"/>
      <c r="J626" s="61"/>
      <c r="K626" s="61"/>
    </row>
    <row r="627">
      <c r="C627" s="61"/>
      <c r="H627" s="61"/>
      <c r="I627" s="61"/>
      <c r="J627" s="61"/>
      <c r="K627" s="61"/>
    </row>
    <row r="628">
      <c r="C628" s="61"/>
      <c r="H628" s="61"/>
      <c r="I628" s="61"/>
      <c r="J628" s="61"/>
      <c r="K628" s="61"/>
    </row>
    <row r="629">
      <c r="C629" s="61"/>
      <c r="H629" s="61"/>
      <c r="I629" s="61"/>
      <c r="J629" s="61"/>
      <c r="K629" s="61"/>
    </row>
    <row r="630">
      <c r="C630" s="61"/>
      <c r="H630" s="61"/>
      <c r="I630" s="61"/>
      <c r="J630" s="61"/>
      <c r="K630" s="61"/>
    </row>
    <row r="631">
      <c r="C631" s="61"/>
      <c r="H631" s="61"/>
      <c r="I631" s="61"/>
      <c r="J631" s="61"/>
      <c r="K631" s="61"/>
    </row>
    <row r="632">
      <c r="C632" s="61"/>
      <c r="H632" s="61"/>
      <c r="I632" s="61"/>
      <c r="J632" s="61"/>
      <c r="K632" s="61"/>
    </row>
    <row r="633">
      <c r="C633" s="61"/>
      <c r="H633" s="61"/>
      <c r="I633" s="61"/>
      <c r="J633" s="61"/>
      <c r="K633" s="61"/>
    </row>
    <row r="634">
      <c r="C634" s="61"/>
      <c r="H634" s="61"/>
      <c r="I634" s="61"/>
      <c r="J634" s="61"/>
      <c r="K634" s="61"/>
    </row>
    <row r="635">
      <c r="C635" s="61"/>
      <c r="H635" s="61"/>
      <c r="I635" s="61"/>
      <c r="J635" s="61"/>
      <c r="K635" s="61"/>
    </row>
    <row r="636">
      <c r="C636" s="61"/>
      <c r="H636" s="61"/>
      <c r="I636" s="61"/>
      <c r="J636" s="61"/>
      <c r="K636" s="61"/>
    </row>
    <row r="637">
      <c r="C637" s="61"/>
      <c r="H637" s="61"/>
      <c r="I637" s="61"/>
      <c r="J637" s="61"/>
      <c r="K637" s="61"/>
    </row>
    <row r="638">
      <c r="C638" s="61"/>
      <c r="H638" s="61"/>
      <c r="I638" s="61"/>
      <c r="J638" s="61"/>
      <c r="K638" s="61"/>
    </row>
    <row r="639">
      <c r="C639" s="61"/>
      <c r="H639" s="61"/>
      <c r="I639" s="61"/>
      <c r="J639" s="61"/>
      <c r="K639" s="61"/>
    </row>
    <row r="640">
      <c r="C640" s="61"/>
      <c r="H640" s="61"/>
      <c r="I640" s="61"/>
      <c r="J640" s="61"/>
      <c r="K640" s="61"/>
    </row>
    <row r="641">
      <c r="C641" s="61"/>
      <c r="H641" s="61"/>
      <c r="I641" s="61"/>
      <c r="J641" s="61"/>
      <c r="K641" s="61"/>
    </row>
    <row r="642">
      <c r="C642" s="61"/>
      <c r="H642" s="61"/>
      <c r="I642" s="61"/>
      <c r="J642" s="61"/>
      <c r="K642" s="61"/>
    </row>
    <row r="643">
      <c r="C643" s="61"/>
      <c r="H643" s="61"/>
      <c r="I643" s="61"/>
      <c r="J643" s="61"/>
      <c r="K643" s="61"/>
    </row>
    <row r="644">
      <c r="C644" s="61"/>
      <c r="H644" s="61"/>
      <c r="I644" s="61"/>
      <c r="J644" s="61"/>
      <c r="K644" s="61"/>
    </row>
    <row r="645">
      <c r="C645" s="61"/>
      <c r="H645" s="61"/>
      <c r="I645" s="61"/>
      <c r="J645" s="61"/>
      <c r="K645" s="61"/>
    </row>
    <row r="646">
      <c r="C646" s="61"/>
      <c r="H646" s="61"/>
      <c r="I646" s="61"/>
      <c r="J646" s="61"/>
      <c r="K646" s="61"/>
    </row>
    <row r="647">
      <c r="C647" s="61"/>
      <c r="H647" s="61"/>
      <c r="I647" s="61"/>
      <c r="J647" s="61"/>
      <c r="K647" s="61"/>
    </row>
    <row r="648">
      <c r="C648" s="61"/>
      <c r="H648" s="61"/>
      <c r="I648" s="61"/>
      <c r="J648" s="61"/>
      <c r="K648" s="61"/>
    </row>
    <row r="649">
      <c r="C649" s="61"/>
      <c r="H649" s="61"/>
      <c r="I649" s="61"/>
      <c r="J649" s="61"/>
      <c r="K649" s="61"/>
    </row>
    <row r="650">
      <c r="C650" s="61"/>
      <c r="H650" s="61"/>
      <c r="I650" s="61"/>
      <c r="J650" s="61"/>
      <c r="K650" s="61"/>
    </row>
    <row r="651">
      <c r="C651" s="61"/>
      <c r="H651" s="61"/>
      <c r="I651" s="61"/>
      <c r="J651" s="61"/>
      <c r="K651" s="61"/>
    </row>
    <row r="652">
      <c r="C652" s="61"/>
      <c r="H652" s="61"/>
      <c r="I652" s="61"/>
      <c r="J652" s="61"/>
      <c r="K652" s="61"/>
    </row>
    <row r="653">
      <c r="C653" s="61"/>
      <c r="H653" s="61"/>
      <c r="I653" s="61"/>
      <c r="J653" s="61"/>
      <c r="K653" s="61"/>
    </row>
    <row r="654">
      <c r="C654" s="61"/>
      <c r="H654" s="61"/>
      <c r="I654" s="61"/>
      <c r="J654" s="61"/>
      <c r="K654" s="61"/>
    </row>
    <row r="655">
      <c r="C655" s="61"/>
      <c r="H655" s="61"/>
      <c r="I655" s="61"/>
      <c r="J655" s="61"/>
      <c r="K655" s="61"/>
    </row>
    <row r="656">
      <c r="C656" s="61"/>
      <c r="H656" s="61"/>
      <c r="I656" s="61"/>
      <c r="J656" s="61"/>
      <c r="K656" s="61"/>
    </row>
    <row r="657">
      <c r="C657" s="61"/>
      <c r="H657" s="61"/>
      <c r="I657" s="61"/>
      <c r="J657" s="61"/>
      <c r="K657" s="61"/>
    </row>
    <row r="658">
      <c r="C658" s="61"/>
      <c r="H658" s="61"/>
      <c r="I658" s="61"/>
      <c r="J658" s="61"/>
      <c r="K658" s="61"/>
    </row>
    <row r="659">
      <c r="C659" s="61"/>
      <c r="H659" s="61"/>
      <c r="I659" s="61"/>
      <c r="J659" s="61"/>
      <c r="K659" s="61"/>
    </row>
    <row r="660">
      <c r="C660" s="61"/>
      <c r="H660" s="61"/>
      <c r="I660" s="61"/>
      <c r="J660" s="61"/>
      <c r="K660" s="61"/>
    </row>
    <row r="661">
      <c r="C661" s="61"/>
      <c r="H661" s="61"/>
      <c r="I661" s="61"/>
      <c r="J661" s="61"/>
      <c r="K661" s="61"/>
    </row>
    <row r="662">
      <c r="C662" s="61"/>
      <c r="H662" s="61"/>
      <c r="I662" s="61"/>
      <c r="J662" s="61"/>
      <c r="K662" s="61"/>
    </row>
    <row r="663">
      <c r="C663" s="61"/>
      <c r="H663" s="61"/>
      <c r="I663" s="61"/>
      <c r="J663" s="61"/>
      <c r="K663" s="61"/>
    </row>
    <row r="664">
      <c r="C664" s="61"/>
      <c r="H664" s="61"/>
      <c r="I664" s="61"/>
      <c r="J664" s="61"/>
      <c r="K664" s="61"/>
    </row>
    <row r="665">
      <c r="C665" s="61"/>
      <c r="H665" s="61"/>
      <c r="I665" s="61"/>
      <c r="J665" s="61"/>
      <c r="K665" s="61"/>
    </row>
    <row r="666">
      <c r="C666" s="61"/>
      <c r="H666" s="61"/>
      <c r="I666" s="61"/>
      <c r="J666" s="61"/>
      <c r="K666" s="61"/>
    </row>
    <row r="667">
      <c r="C667" s="61"/>
      <c r="H667" s="61"/>
      <c r="I667" s="61"/>
      <c r="J667" s="61"/>
      <c r="K667" s="61"/>
    </row>
    <row r="668">
      <c r="C668" s="61"/>
      <c r="H668" s="61"/>
      <c r="I668" s="61"/>
      <c r="J668" s="61"/>
      <c r="K668" s="61"/>
    </row>
    <row r="669">
      <c r="C669" s="61"/>
      <c r="H669" s="61"/>
      <c r="I669" s="61"/>
      <c r="J669" s="61"/>
      <c r="K669" s="61"/>
    </row>
    <row r="670">
      <c r="C670" s="61"/>
      <c r="H670" s="61"/>
      <c r="I670" s="61"/>
      <c r="J670" s="61"/>
      <c r="K670" s="61"/>
    </row>
    <row r="671">
      <c r="C671" s="61"/>
      <c r="H671" s="61"/>
      <c r="I671" s="61"/>
      <c r="J671" s="61"/>
      <c r="K671" s="61"/>
    </row>
    <row r="672">
      <c r="C672" s="61"/>
      <c r="H672" s="61"/>
      <c r="I672" s="61"/>
      <c r="J672" s="61"/>
      <c r="K672" s="61"/>
    </row>
    <row r="673">
      <c r="C673" s="61"/>
      <c r="H673" s="61"/>
      <c r="I673" s="61"/>
      <c r="J673" s="61"/>
      <c r="K673" s="61"/>
    </row>
    <row r="674">
      <c r="C674" s="61"/>
      <c r="H674" s="61"/>
      <c r="I674" s="61"/>
      <c r="J674" s="61"/>
      <c r="K674" s="61"/>
    </row>
    <row r="675">
      <c r="C675" s="61"/>
      <c r="H675" s="61"/>
      <c r="I675" s="61"/>
      <c r="J675" s="61"/>
      <c r="K675" s="61"/>
    </row>
    <row r="676">
      <c r="C676" s="61"/>
      <c r="H676" s="61"/>
      <c r="I676" s="61"/>
      <c r="J676" s="61"/>
      <c r="K676" s="61"/>
    </row>
    <row r="677">
      <c r="C677" s="61"/>
      <c r="H677" s="61"/>
      <c r="I677" s="61"/>
      <c r="J677" s="61"/>
      <c r="K677" s="61"/>
    </row>
    <row r="678">
      <c r="C678" s="61"/>
      <c r="H678" s="61"/>
      <c r="I678" s="61"/>
      <c r="J678" s="61"/>
      <c r="K678" s="61"/>
    </row>
    <row r="679">
      <c r="C679" s="61"/>
      <c r="H679" s="61"/>
      <c r="I679" s="61"/>
      <c r="J679" s="61"/>
      <c r="K679" s="61"/>
    </row>
    <row r="680">
      <c r="C680" s="61"/>
      <c r="H680" s="61"/>
      <c r="I680" s="61"/>
      <c r="J680" s="61"/>
      <c r="K680" s="61"/>
    </row>
    <row r="681">
      <c r="C681" s="61"/>
      <c r="H681" s="61"/>
      <c r="I681" s="61"/>
      <c r="J681" s="61"/>
      <c r="K681" s="61"/>
    </row>
    <row r="682">
      <c r="C682" s="61"/>
      <c r="H682" s="61"/>
      <c r="I682" s="61"/>
      <c r="J682" s="61"/>
      <c r="K682" s="61"/>
    </row>
    <row r="683">
      <c r="C683" s="61"/>
      <c r="H683" s="61"/>
      <c r="I683" s="61"/>
      <c r="J683" s="61"/>
      <c r="K683" s="61"/>
    </row>
    <row r="684">
      <c r="C684" s="61"/>
      <c r="H684" s="61"/>
      <c r="I684" s="61"/>
      <c r="J684" s="61"/>
      <c r="K684" s="61"/>
    </row>
    <row r="685">
      <c r="C685" s="61"/>
      <c r="H685" s="61"/>
      <c r="I685" s="61"/>
      <c r="J685" s="61"/>
      <c r="K685" s="61"/>
    </row>
    <row r="686">
      <c r="C686" s="61"/>
      <c r="H686" s="61"/>
      <c r="I686" s="61"/>
      <c r="J686" s="61"/>
      <c r="K686" s="61"/>
    </row>
    <row r="687">
      <c r="C687" s="61"/>
      <c r="H687" s="61"/>
      <c r="I687" s="61"/>
      <c r="J687" s="61"/>
      <c r="K687" s="61"/>
    </row>
    <row r="688">
      <c r="C688" s="61"/>
      <c r="H688" s="61"/>
      <c r="I688" s="61"/>
      <c r="J688" s="61"/>
      <c r="K688" s="61"/>
    </row>
    <row r="689">
      <c r="C689" s="61"/>
      <c r="H689" s="61"/>
      <c r="I689" s="61"/>
      <c r="J689" s="61"/>
      <c r="K689" s="61"/>
    </row>
    <row r="690">
      <c r="C690" s="61"/>
      <c r="H690" s="61"/>
      <c r="I690" s="61"/>
      <c r="J690" s="61"/>
      <c r="K690" s="61"/>
    </row>
    <row r="691">
      <c r="C691" s="61"/>
      <c r="H691" s="61"/>
      <c r="I691" s="61"/>
      <c r="J691" s="61"/>
      <c r="K691" s="61"/>
    </row>
    <row r="692">
      <c r="C692" s="61"/>
      <c r="H692" s="61"/>
      <c r="I692" s="61"/>
      <c r="J692" s="61"/>
      <c r="K692" s="61"/>
    </row>
    <row r="693">
      <c r="C693" s="61"/>
      <c r="H693" s="61"/>
      <c r="I693" s="61"/>
      <c r="J693" s="61"/>
      <c r="K693" s="61"/>
    </row>
    <row r="694">
      <c r="C694" s="61"/>
      <c r="H694" s="61"/>
      <c r="I694" s="61"/>
      <c r="J694" s="61"/>
      <c r="K694" s="61"/>
    </row>
    <row r="695">
      <c r="C695" s="61"/>
      <c r="H695" s="61"/>
      <c r="I695" s="61"/>
      <c r="J695" s="61"/>
      <c r="K695" s="61"/>
    </row>
    <row r="696">
      <c r="C696" s="61"/>
      <c r="H696" s="61"/>
      <c r="I696" s="61"/>
      <c r="J696" s="61"/>
      <c r="K696" s="61"/>
    </row>
    <row r="697">
      <c r="C697" s="61"/>
      <c r="H697" s="61"/>
      <c r="I697" s="61"/>
      <c r="J697" s="61"/>
      <c r="K697" s="61"/>
    </row>
    <row r="698">
      <c r="C698" s="61"/>
      <c r="H698" s="61"/>
      <c r="I698" s="61"/>
      <c r="J698" s="61"/>
      <c r="K698" s="61"/>
    </row>
    <row r="699">
      <c r="C699" s="61"/>
      <c r="H699" s="61"/>
      <c r="I699" s="61"/>
      <c r="J699" s="61"/>
      <c r="K699" s="61"/>
    </row>
    <row r="700">
      <c r="C700" s="61"/>
      <c r="H700" s="61"/>
      <c r="I700" s="61"/>
      <c r="J700" s="61"/>
      <c r="K700" s="61"/>
    </row>
    <row r="701">
      <c r="C701" s="61"/>
      <c r="H701" s="61"/>
      <c r="I701" s="61"/>
      <c r="J701" s="61"/>
      <c r="K701" s="61"/>
    </row>
    <row r="702">
      <c r="C702" s="61"/>
      <c r="H702" s="61"/>
      <c r="I702" s="61"/>
      <c r="J702" s="61"/>
      <c r="K702" s="61"/>
    </row>
    <row r="703">
      <c r="C703" s="61"/>
      <c r="H703" s="61"/>
      <c r="I703" s="61"/>
      <c r="J703" s="61"/>
      <c r="K703" s="61"/>
    </row>
    <row r="704">
      <c r="C704" s="61"/>
      <c r="H704" s="61"/>
      <c r="I704" s="61"/>
      <c r="J704" s="61"/>
      <c r="K704" s="61"/>
    </row>
    <row r="705">
      <c r="C705" s="61"/>
      <c r="H705" s="61"/>
      <c r="I705" s="61"/>
      <c r="J705" s="61"/>
      <c r="K705" s="61"/>
    </row>
    <row r="706">
      <c r="C706" s="61"/>
      <c r="H706" s="61"/>
      <c r="I706" s="61"/>
      <c r="J706" s="61"/>
      <c r="K706" s="61"/>
    </row>
    <row r="707">
      <c r="C707" s="61"/>
      <c r="H707" s="61"/>
      <c r="I707" s="61"/>
      <c r="J707" s="61"/>
      <c r="K707" s="61"/>
    </row>
    <row r="708">
      <c r="C708" s="61"/>
      <c r="H708" s="61"/>
      <c r="I708" s="61"/>
      <c r="J708" s="61"/>
      <c r="K708" s="61"/>
    </row>
    <row r="709">
      <c r="C709" s="61"/>
      <c r="H709" s="61"/>
      <c r="I709" s="61"/>
      <c r="J709" s="61"/>
      <c r="K709" s="61"/>
    </row>
    <row r="710">
      <c r="C710" s="61"/>
      <c r="H710" s="61"/>
      <c r="I710" s="61"/>
      <c r="J710" s="61"/>
      <c r="K710" s="61"/>
    </row>
    <row r="711">
      <c r="C711" s="61"/>
      <c r="H711" s="61"/>
      <c r="I711" s="61"/>
      <c r="J711" s="61"/>
      <c r="K711" s="61"/>
    </row>
    <row r="712">
      <c r="C712" s="61"/>
      <c r="H712" s="61"/>
      <c r="I712" s="61"/>
      <c r="J712" s="61"/>
      <c r="K712" s="61"/>
    </row>
    <row r="713">
      <c r="C713" s="61"/>
      <c r="H713" s="61"/>
      <c r="I713" s="61"/>
      <c r="J713" s="61"/>
      <c r="K713" s="61"/>
    </row>
    <row r="714">
      <c r="C714" s="61"/>
      <c r="H714" s="61"/>
      <c r="I714" s="61"/>
      <c r="J714" s="61"/>
      <c r="K714" s="61"/>
    </row>
    <row r="715">
      <c r="C715" s="61"/>
      <c r="H715" s="61"/>
      <c r="I715" s="61"/>
      <c r="J715" s="61"/>
      <c r="K715" s="61"/>
    </row>
    <row r="716">
      <c r="C716" s="61"/>
      <c r="H716" s="61"/>
      <c r="I716" s="61"/>
      <c r="J716" s="61"/>
      <c r="K716" s="61"/>
    </row>
    <row r="717">
      <c r="C717" s="61"/>
      <c r="H717" s="61"/>
      <c r="I717" s="61"/>
      <c r="J717" s="61"/>
      <c r="K717" s="61"/>
    </row>
    <row r="718">
      <c r="C718" s="61"/>
      <c r="H718" s="61"/>
      <c r="I718" s="61"/>
      <c r="J718" s="61"/>
      <c r="K718" s="61"/>
    </row>
    <row r="719">
      <c r="C719" s="61"/>
      <c r="H719" s="61"/>
      <c r="I719" s="61"/>
      <c r="J719" s="61"/>
      <c r="K719" s="61"/>
    </row>
    <row r="720">
      <c r="C720" s="61"/>
      <c r="H720" s="61"/>
      <c r="I720" s="61"/>
      <c r="J720" s="61"/>
      <c r="K720" s="61"/>
    </row>
    <row r="721">
      <c r="C721" s="61"/>
      <c r="H721" s="61"/>
      <c r="I721" s="61"/>
      <c r="J721" s="61"/>
      <c r="K721" s="61"/>
    </row>
    <row r="722">
      <c r="C722" s="61"/>
      <c r="H722" s="61"/>
      <c r="I722" s="61"/>
      <c r="J722" s="61"/>
      <c r="K722" s="61"/>
    </row>
    <row r="723">
      <c r="C723" s="61"/>
      <c r="H723" s="61"/>
      <c r="I723" s="61"/>
      <c r="J723" s="61"/>
      <c r="K723" s="61"/>
    </row>
    <row r="724">
      <c r="C724" s="61"/>
      <c r="H724" s="61"/>
      <c r="I724" s="61"/>
      <c r="J724" s="61"/>
      <c r="K724" s="61"/>
    </row>
    <row r="725">
      <c r="C725" s="61"/>
      <c r="H725" s="61"/>
      <c r="I725" s="61"/>
      <c r="J725" s="61"/>
      <c r="K725" s="61"/>
    </row>
    <row r="726">
      <c r="C726" s="61"/>
      <c r="H726" s="61"/>
      <c r="I726" s="61"/>
      <c r="J726" s="61"/>
      <c r="K726" s="61"/>
    </row>
    <row r="727">
      <c r="C727" s="61"/>
      <c r="H727" s="61"/>
      <c r="I727" s="61"/>
      <c r="J727" s="61"/>
      <c r="K727" s="61"/>
    </row>
    <row r="728">
      <c r="C728" s="61"/>
      <c r="H728" s="61"/>
      <c r="I728" s="61"/>
      <c r="J728" s="61"/>
      <c r="K728" s="61"/>
    </row>
    <row r="729">
      <c r="C729" s="61"/>
      <c r="H729" s="61"/>
      <c r="I729" s="61"/>
      <c r="J729" s="61"/>
      <c r="K729" s="61"/>
    </row>
    <row r="730">
      <c r="C730" s="61"/>
      <c r="H730" s="61"/>
      <c r="I730" s="61"/>
      <c r="J730" s="61"/>
      <c r="K730" s="61"/>
    </row>
    <row r="731">
      <c r="C731" s="61"/>
      <c r="H731" s="61"/>
      <c r="I731" s="61"/>
      <c r="J731" s="61"/>
      <c r="K731" s="61"/>
    </row>
    <row r="732">
      <c r="C732" s="61"/>
      <c r="H732" s="61"/>
      <c r="I732" s="61"/>
      <c r="J732" s="61"/>
      <c r="K732" s="61"/>
    </row>
    <row r="733">
      <c r="C733" s="61"/>
      <c r="H733" s="61"/>
      <c r="I733" s="61"/>
      <c r="J733" s="61"/>
      <c r="K733" s="61"/>
    </row>
    <row r="734">
      <c r="C734" s="61"/>
      <c r="H734" s="61"/>
      <c r="I734" s="61"/>
      <c r="J734" s="61"/>
      <c r="K734" s="61"/>
    </row>
    <row r="735">
      <c r="C735" s="61"/>
      <c r="H735" s="61"/>
      <c r="I735" s="61"/>
      <c r="J735" s="61"/>
      <c r="K735" s="61"/>
    </row>
    <row r="736">
      <c r="C736" s="61"/>
      <c r="H736" s="61"/>
      <c r="I736" s="61"/>
      <c r="J736" s="61"/>
      <c r="K736" s="61"/>
    </row>
    <row r="737">
      <c r="C737" s="61"/>
      <c r="H737" s="61"/>
      <c r="I737" s="61"/>
      <c r="J737" s="61"/>
      <c r="K737" s="61"/>
    </row>
    <row r="738">
      <c r="C738" s="61"/>
      <c r="H738" s="61"/>
      <c r="I738" s="61"/>
      <c r="J738" s="61"/>
      <c r="K738" s="61"/>
    </row>
    <row r="739">
      <c r="C739" s="61"/>
      <c r="H739" s="61"/>
      <c r="I739" s="61"/>
      <c r="J739" s="61"/>
      <c r="K739" s="61"/>
    </row>
    <row r="740">
      <c r="C740" s="61"/>
      <c r="H740" s="61"/>
      <c r="I740" s="61"/>
      <c r="J740" s="61"/>
      <c r="K740" s="61"/>
    </row>
    <row r="741">
      <c r="C741" s="61"/>
      <c r="H741" s="61"/>
      <c r="I741" s="61"/>
      <c r="J741" s="61"/>
      <c r="K741" s="61"/>
    </row>
    <row r="742">
      <c r="C742" s="61"/>
      <c r="H742" s="61"/>
      <c r="I742" s="61"/>
      <c r="J742" s="61"/>
      <c r="K742" s="61"/>
    </row>
    <row r="743">
      <c r="C743" s="61"/>
      <c r="H743" s="61"/>
      <c r="I743" s="61"/>
      <c r="J743" s="61"/>
      <c r="K743" s="61"/>
    </row>
    <row r="744">
      <c r="C744" s="61"/>
      <c r="H744" s="61"/>
      <c r="I744" s="61"/>
      <c r="J744" s="61"/>
      <c r="K744" s="61"/>
    </row>
    <row r="745">
      <c r="C745" s="61"/>
      <c r="H745" s="61"/>
      <c r="I745" s="61"/>
      <c r="J745" s="61"/>
      <c r="K745" s="61"/>
    </row>
    <row r="746">
      <c r="C746" s="61"/>
      <c r="H746" s="61"/>
      <c r="I746" s="61"/>
      <c r="J746" s="61"/>
      <c r="K746" s="61"/>
    </row>
    <row r="747">
      <c r="C747" s="61"/>
      <c r="H747" s="61"/>
      <c r="I747" s="61"/>
      <c r="J747" s="61"/>
      <c r="K747" s="61"/>
    </row>
    <row r="748">
      <c r="C748" s="61"/>
      <c r="H748" s="61"/>
      <c r="I748" s="61"/>
      <c r="J748" s="61"/>
      <c r="K748" s="61"/>
    </row>
    <row r="749">
      <c r="C749" s="61"/>
      <c r="H749" s="61"/>
      <c r="I749" s="61"/>
      <c r="J749" s="61"/>
      <c r="K749" s="61"/>
    </row>
    <row r="750">
      <c r="C750" s="61"/>
      <c r="H750" s="61"/>
      <c r="I750" s="61"/>
      <c r="J750" s="61"/>
      <c r="K750" s="61"/>
    </row>
    <row r="751">
      <c r="C751" s="61"/>
      <c r="H751" s="61"/>
      <c r="I751" s="61"/>
      <c r="J751" s="61"/>
      <c r="K751" s="61"/>
    </row>
    <row r="752">
      <c r="C752" s="61"/>
      <c r="H752" s="61"/>
      <c r="I752" s="61"/>
      <c r="J752" s="61"/>
      <c r="K752" s="61"/>
    </row>
    <row r="753">
      <c r="C753" s="61"/>
      <c r="H753" s="61"/>
      <c r="I753" s="61"/>
      <c r="J753" s="61"/>
      <c r="K753" s="61"/>
    </row>
    <row r="754">
      <c r="C754" s="61"/>
      <c r="H754" s="61"/>
      <c r="I754" s="61"/>
      <c r="J754" s="61"/>
      <c r="K754" s="61"/>
    </row>
    <row r="755">
      <c r="C755" s="61"/>
      <c r="H755" s="61"/>
      <c r="I755" s="61"/>
      <c r="J755" s="61"/>
      <c r="K755" s="61"/>
    </row>
    <row r="756">
      <c r="C756" s="61"/>
      <c r="H756" s="61"/>
      <c r="I756" s="61"/>
      <c r="J756" s="61"/>
      <c r="K756" s="61"/>
    </row>
    <row r="757">
      <c r="C757" s="61"/>
      <c r="H757" s="61"/>
      <c r="I757" s="61"/>
      <c r="J757" s="61"/>
      <c r="K757" s="61"/>
    </row>
    <row r="758">
      <c r="C758" s="61"/>
      <c r="H758" s="61"/>
      <c r="I758" s="61"/>
      <c r="J758" s="61"/>
      <c r="K758" s="61"/>
    </row>
    <row r="759">
      <c r="C759" s="61"/>
      <c r="H759" s="61"/>
      <c r="I759" s="61"/>
      <c r="J759" s="61"/>
      <c r="K759" s="61"/>
    </row>
    <row r="760">
      <c r="C760" s="61"/>
      <c r="H760" s="61"/>
      <c r="I760" s="61"/>
      <c r="J760" s="61"/>
      <c r="K760" s="61"/>
    </row>
    <row r="761">
      <c r="C761" s="61"/>
      <c r="H761" s="61"/>
      <c r="I761" s="61"/>
      <c r="J761" s="61"/>
      <c r="K761" s="61"/>
    </row>
    <row r="762">
      <c r="C762" s="61"/>
      <c r="H762" s="61"/>
      <c r="I762" s="61"/>
      <c r="J762" s="61"/>
      <c r="K762" s="61"/>
    </row>
    <row r="763">
      <c r="C763" s="61"/>
      <c r="H763" s="61"/>
      <c r="I763" s="61"/>
      <c r="J763" s="61"/>
      <c r="K763" s="61"/>
    </row>
    <row r="764">
      <c r="C764" s="61"/>
      <c r="H764" s="61"/>
      <c r="I764" s="61"/>
      <c r="J764" s="61"/>
      <c r="K764" s="61"/>
    </row>
    <row r="765">
      <c r="C765" s="61"/>
      <c r="H765" s="61"/>
      <c r="I765" s="61"/>
      <c r="J765" s="61"/>
      <c r="K765" s="61"/>
    </row>
    <row r="766">
      <c r="C766" s="61"/>
      <c r="H766" s="61"/>
      <c r="I766" s="61"/>
      <c r="J766" s="61"/>
      <c r="K766" s="61"/>
    </row>
    <row r="767">
      <c r="C767" s="61"/>
      <c r="H767" s="61"/>
      <c r="I767" s="61"/>
      <c r="J767" s="61"/>
      <c r="K767" s="61"/>
    </row>
    <row r="768">
      <c r="C768" s="61"/>
      <c r="H768" s="61"/>
      <c r="I768" s="61"/>
      <c r="J768" s="61"/>
      <c r="K768" s="61"/>
    </row>
    <row r="769">
      <c r="C769" s="61"/>
      <c r="H769" s="61"/>
      <c r="I769" s="61"/>
      <c r="J769" s="61"/>
      <c r="K769" s="61"/>
    </row>
    <row r="770">
      <c r="C770" s="61"/>
      <c r="H770" s="61"/>
      <c r="I770" s="61"/>
      <c r="J770" s="61"/>
      <c r="K770" s="61"/>
    </row>
    <row r="771">
      <c r="C771" s="61"/>
      <c r="H771" s="61"/>
      <c r="I771" s="61"/>
      <c r="J771" s="61"/>
      <c r="K771" s="61"/>
    </row>
    <row r="772">
      <c r="C772" s="61"/>
      <c r="H772" s="61"/>
      <c r="I772" s="61"/>
      <c r="J772" s="61"/>
      <c r="K772" s="61"/>
    </row>
    <row r="773">
      <c r="C773" s="61"/>
      <c r="H773" s="61"/>
      <c r="I773" s="61"/>
      <c r="J773" s="61"/>
      <c r="K773" s="61"/>
    </row>
    <row r="774">
      <c r="C774" s="61"/>
      <c r="H774" s="61"/>
      <c r="I774" s="61"/>
      <c r="J774" s="61"/>
      <c r="K774" s="61"/>
    </row>
    <row r="775">
      <c r="C775" s="61"/>
      <c r="H775" s="61"/>
      <c r="I775" s="61"/>
      <c r="J775" s="61"/>
      <c r="K775" s="61"/>
    </row>
    <row r="776">
      <c r="C776" s="61"/>
      <c r="H776" s="61"/>
      <c r="I776" s="61"/>
      <c r="J776" s="61"/>
      <c r="K776" s="61"/>
    </row>
    <row r="777">
      <c r="C777" s="61"/>
      <c r="H777" s="61"/>
      <c r="I777" s="61"/>
      <c r="J777" s="61"/>
      <c r="K777" s="61"/>
    </row>
    <row r="778">
      <c r="C778" s="61"/>
      <c r="H778" s="61"/>
      <c r="I778" s="61"/>
      <c r="J778" s="61"/>
      <c r="K778" s="61"/>
    </row>
    <row r="779">
      <c r="C779" s="61"/>
      <c r="H779" s="61"/>
      <c r="I779" s="61"/>
      <c r="J779" s="61"/>
      <c r="K779" s="61"/>
    </row>
    <row r="780">
      <c r="C780" s="61"/>
      <c r="H780" s="61"/>
      <c r="I780" s="61"/>
      <c r="J780" s="61"/>
      <c r="K780" s="61"/>
    </row>
    <row r="781">
      <c r="C781" s="61"/>
      <c r="H781" s="61"/>
      <c r="I781" s="61"/>
      <c r="J781" s="61"/>
      <c r="K781" s="61"/>
    </row>
    <row r="782">
      <c r="C782" s="61"/>
      <c r="H782" s="61"/>
      <c r="I782" s="61"/>
      <c r="J782" s="61"/>
      <c r="K782" s="61"/>
    </row>
    <row r="783">
      <c r="C783" s="61"/>
      <c r="H783" s="61"/>
      <c r="I783" s="61"/>
      <c r="J783" s="61"/>
      <c r="K783" s="61"/>
    </row>
    <row r="784">
      <c r="C784" s="61"/>
      <c r="H784" s="61"/>
      <c r="I784" s="61"/>
      <c r="J784" s="61"/>
      <c r="K784" s="61"/>
    </row>
    <row r="785">
      <c r="C785" s="61"/>
      <c r="H785" s="61"/>
      <c r="I785" s="61"/>
      <c r="J785" s="61"/>
      <c r="K785" s="61"/>
    </row>
    <row r="786">
      <c r="C786" s="61"/>
      <c r="H786" s="61"/>
      <c r="I786" s="61"/>
      <c r="J786" s="61"/>
      <c r="K786" s="61"/>
    </row>
    <row r="787">
      <c r="C787" s="61"/>
      <c r="H787" s="61"/>
      <c r="I787" s="61"/>
      <c r="J787" s="61"/>
      <c r="K787" s="61"/>
    </row>
    <row r="788">
      <c r="C788" s="61"/>
      <c r="H788" s="61"/>
      <c r="I788" s="61"/>
      <c r="J788" s="61"/>
      <c r="K788" s="61"/>
    </row>
    <row r="789">
      <c r="C789" s="61"/>
      <c r="H789" s="61"/>
      <c r="I789" s="61"/>
      <c r="J789" s="61"/>
      <c r="K789" s="61"/>
    </row>
    <row r="790">
      <c r="C790" s="61"/>
      <c r="H790" s="61"/>
      <c r="I790" s="61"/>
      <c r="J790" s="61"/>
      <c r="K790" s="61"/>
    </row>
    <row r="791">
      <c r="C791" s="61"/>
      <c r="H791" s="61"/>
      <c r="I791" s="61"/>
      <c r="J791" s="61"/>
      <c r="K791" s="61"/>
    </row>
    <row r="792">
      <c r="C792" s="61"/>
      <c r="H792" s="61"/>
      <c r="I792" s="61"/>
      <c r="J792" s="61"/>
      <c r="K792" s="61"/>
    </row>
    <row r="793">
      <c r="C793" s="61"/>
      <c r="H793" s="61"/>
      <c r="I793" s="61"/>
      <c r="J793" s="61"/>
      <c r="K793" s="61"/>
    </row>
    <row r="794">
      <c r="C794" s="61"/>
      <c r="H794" s="61"/>
      <c r="I794" s="61"/>
      <c r="J794" s="61"/>
      <c r="K794" s="61"/>
    </row>
    <row r="795">
      <c r="C795" s="61"/>
      <c r="H795" s="61"/>
      <c r="I795" s="61"/>
      <c r="J795" s="61"/>
      <c r="K795" s="61"/>
    </row>
    <row r="796">
      <c r="C796" s="61"/>
      <c r="H796" s="61"/>
      <c r="I796" s="61"/>
      <c r="J796" s="61"/>
      <c r="K796" s="61"/>
    </row>
    <row r="797">
      <c r="C797" s="61"/>
      <c r="H797" s="61"/>
      <c r="I797" s="61"/>
      <c r="J797" s="61"/>
      <c r="K797" s="61"/>
    </row>
    <row r="798">
      <c r="C798" s="61"/>
      <c r="H798" s="61"/>
      <c r="I798" s="61"/>
      <c r="J798" s="61"/>
      <c r="K798" s="61"/>
    </row>
    <row r="799">
      <c r="C799" s="61"/>
      <c r="H799" s="61"/>
      <c r="I799" s="61"/>
      <c r="J799" s="61"/>
      <c r="K799" s="61"/>
    </row>
    <row r="800">
      <c r="C800" s="61"/>
      <c r="H800" s="61"/>
      <c r="I800" s="61"/>
      <c r="J800" s="61"/>
      <c r="K800" s="61"/>
    </row>
    <row r="801">
      <c r="C801" s="61"/>
      <c r="H801" s="61"/>
      <c r="I801" s="61"/>
      <c r="J801" s="61"/>
      <c r="K801" s="61"/>
    </row>
    <row r="802">
      <c r="C802" s="61"/>
      <c r="H802" s="61"/>
      <c r="I802" s="61"/>
      <c r="J802" s="61"/>
      <c r="K802" s="61"/>
    </row>
    <row r="803">
      <c r="C803" s="61"/>
      <c r="H803" s="61"/>
      <c r="I803" s="61"/>
      <c r="J803" s="61"/>
      <c r="K803" s="61"/>
    </row>
    <row r="804">
      <c r="C804" s="61"/>
      <c r="H804" s="61"/>
      <c r="I804" s="61"/>
      <c r="J804" s="61"/>
      <c r="K804" s="61"/>
    </row>
    <row r="805">
      <c r="C805" s="61"/>
      <c r="H805" s="61"/>
      <c r="I805" s="61"/>
      <c r="J805" s="61"/>
      <c r="K805" s="61"/>
    </row>
    <row r="806">
      <c r="C806" s="61"/>
      <c r="H806" s="61"/>
      <c r="I806" s="61"/>
      <c r="J806" s="61"/>
      <c r="K806" s="61"/>
    </row>
    <row r="807">
      <c r="C807" s="61"/>
      <c r="H807" s="61"/>
      <c r="I807" s="61"/>
      <c r="J807" s="61"/>
      <c r="K807" s="61"/>
    </row>
    <row r="808">
      <c r="C808" s="61"/>
      <c r="H808" s="61"/>
      <c r="I808" s="61"/>
      <c r="J808" s="61"/>
      <c r="K808" s="61"/>
    </row>
    <row r="809">
      <c r="C809" s="61"/>
      <c r="H809" s="61"/>
      <c r="I809" s="61"/>
      <c r="J809" s="61"/>
      <c r="K809" s="61"/>
    </row>
    <row r="810">
      <c r="C810" s="61"/>
      <c r="H810" s="61"/>
      <c r="I810" s="61"/>
      <c r="J810" s="61"/>
      <c r="K810" s="61"/>
    </row>
    <row r="811">
      <c r="C811" s="61"/>
      <c r="H811" s="61"/>
      <c r="I811" s="61"/>
      <c r="J811" s="61"/>
      <c r="K811" s="61"/>
    </row>
    <row r="812">
      <c r="C812" s="61"/>
      <c r="H812" s="61"/>
      <c r="I812" s="61"/>
      <c r="J812" s="61"/>
      <c r="K812" s="61"/>
    </row>
    <row r="813">
      <c r="C813" s="61"/>
      <c r="H813" s="61"/>
      <c r="I813" s="61"/>
      <c r="J813" s="61"/>
      <c r="K813" s="61"/>
    </row>
    <row r="814">
      <c r="C814" s="61"/>
      <c r="H814" s="61"/>
      <c r="I814" s="61"/>
      <c r="J814" s="61"/>
      <c r="K814" s="61"/>
    </row>
    <row r="815">
      <c r="C815" s="61"/>
      <c r="H815" s="61"/>
      <c r="I815" s="61"/>
      <c r="J815" s="61"/>
      <c r="K815" s="61"/>
    </row>
    <row r="816">
      <c r="C816" s="61"/>
      <c r="H816" s="61"/>
      <c r="I816" s="61"/>
      <c r="J816" s="61"/>
      <c r="K816" s="61"/>
    </row>
    <row r="817">
      <c r="C817" s="61"/>
      <c r="H817" s="61"/>
      <c r="I817" s="61"/>
      <c r="J817" s="61"/>
      <c r="K817" s="61"/>
    </row>
    <row r="818">
      <c r="C818" s="61"/>
      <c r="H818" s="61"/>
      <c r="I818" s="61"/>
      <c r="J818" s="61"/>
      <c r="K818" s="61"/>
    </row>
    <row r="819">
      <c r="C819" s="61"/>
      <c r="H819" s="61"/>
      <c r="I819" s="61"/>
      <c r="J819" s="61"/>
      <c r="K819" s="61"/>
    </row>
    <row r="820">
      <c r="C820" s="61"/>
      <c r="H820" s="61"/>
      <c r="I820" s="61"/>
      <c r="J820" s="61"/>
      <c r="K820" s="61"/>
    </row>
    <row r="821">
      <c r="C821" s="61"/>
      <c r="H821" s="61"/>
      <c r="I821" s="61"/>
      <c r="J821" s="61"/>
      <c r="K821" s="61"/>
    </row>
    <row r="822">
      <c r="C822" s="61"/>
      <c r="H822" s="61"/>
      <c r="I822" s="61"/>
      <c r="J822" s="61"/>
      <c r="K822" s="61"/>
    </row>
    <row r="823">
      <c r="C823" s="61"/>
      <c r="H823" s="61"/>
      <c r="I823" s="61"/>
      <c r="J823" s="61"/>
      <c r="K823" s="61"/>
    </row>
    <row r="824">
      <c r="C824" s="61"/>
      <c r="H824" s="61"/>
      <c r="I824" s="61"/>
      <c r="J824" s="61"/>
      <c r="K824" s="61"/>
    </row>
    <row r="825">
      <c r="C825" s="61"/>
      <c r="H825" s="61"/>
      <c r="I825" s="61"/>
      <c r="J825" s="61"/>
      <c r="K825" s="61"/>
    </row>
    <row r="826">
      <c r="C826" s="61"/>
      <c r="H826" s="61"/>
      <c r="I826" s="61"/>
      <c r="J826" s="61"/>
      <c r="K826" s="61"/>
    </row>
    <row r="827">
      <c r="C827" s="61"/>
      <c r="H827" s="61"/>
      <c r="I827" s="61"/>
      <c r="J827" s="61"/>
      <c r="K827" s="61"/>
    </row>
    <row r="828">
      <c r="C828" s="61"/>
      <c r="H828" s="61"/>
      <c r="I828" s="61"/>
      <c r="J828" s="61"/>
      <c r="K828" s="61"/>
    </row>
    <row r="829">
      <c r="C829" s="61"/>
      <c r="H829" s="61"/>
      <c r="I829" s="61"/>
      <c r="J829" s="61"/>
      <c r="K829" s="61"/>
    </row>
    <row r="830">
      <c r="C830" s="61"/>
      <c r="H830" s="61"/>
      <c r="I830" s="61"/>
      <c r="J830" s="61"/>
      <c r="K830" s="61"/>
    </row>
    <row r="831">
      <c r="C831" s="61"/>
      <c r="H831" s="61"/>
      <c r="I831" s="61"/>
      <c r="J831" s="61"/>
      <c r="K831" s="61"/>
    </row>
    <row r="832">
      <c r="C832" s="61"/>
      <c r="H832" s="61"/>
      <c r="I832" s="61"/>
      <c r="J832" s="61"/>
      <c r="K832" s="61"/>
    </row>
    <row r="833">
      <c r="C833" s="61"/>
      <c r="H833" s="61"/>
      <c r="I833" s="61"/>
      <c r="J833" s="61"/>
      <c r="K833" s="61"/>
    </row>
    <row r="834">
      <c r="C834" s="61"/>
      <c r="H834" s="61"/>
      <c r="I834" s="61"/>
      <c r="J834" s="61"/>
      <c r="K834" s="61"/>
    </row>
    <row r="835">
      <c r="C835" s="61"/>
      <c r="H835" s="61"/>
      <c r="I835" s="61"/>
      <c r="J835" s="61"/>
      <c r="K835" s="61"/>
    </row>
    <row r="836">
      <c r="C836" s="61"/>
      <c r="H836" s="61"/>
      <c r="I836" s="61"/>
      <c r="J836" s="61"/>
      <c r="K836" s="61"/>
    </row>
    <row r="837">
      <c r="C837" s="61"/>
      <c r="H837" s="61"/>
      <c r="I837" s="61"/>
      <c r="J837" s="61"/>
      <c r="K837" s="61"/>
    </row>
    <row r="838">
      <c r="C838" s="61"/>
      <c r="H838" s="61"/>
      <c r="I838" s="61"/>
      <c r="J838" s="61"/>
      <c r="K838" s="61"/>
    </row>
    <row r="839">
      <c r="C839" s="61"/>
      <c r="H839" s="61"/>
      <c r="I839" s="61"/>
      <c r="J839" s="61"/>
      <c r="K839" s="61"/>
    </row>
    <row r="840">
      <c r="C840" s="61"/>
      <c r="H840" s="61"/>
      <c r="I840" s="61"/>
      <c r="J840" s="61"/>
      <c r="K840" s="61"/>
    </row>
    <row r="841">
      <c r="C841" s="61"/>
      <c r="H841" s="61"/>
      <c r="I841" s="61"/>
      <c r="J841" s="61"/>
      <c r="K841" s="61"/>
    </row>
    <row r="842">
      <c r="C842" s="61"/>
      <c r="H842" s="61"/>
      <c r="I842" s="61"/>
      <c r="J842" s="61"/>
      <c r="K842" s="61"/>
    </row>
    <row r="843">
      <c r="C843" s="61"/>
      <c r="H843" s="61"/>
      <c r="I843" s="61"/>
      <c r="J843" s="61"/>
      <c r="K843" s="61"/>
    </row>
    <row r="844">
      <c r="C844" s="61"/>
      <c r="H844" s="61"/>
      <c r="I844" s="61"/>
      <c r="J844" s="61"/>
      <c r="K844" s="61"/>
    </row>
    <row r="845">
      <c r="C845" s="61"/>
      <c r="H845" s="61"/>
      <c r="I845" s="61"/>
      <c r="J845" s="61"/>
      <c r="K845" s="61"/>
    </row>
    <row r="846">
      <c r="C846" s="61"/>
      <c r="H846" s="61"/>
      <c r="I846" s="61"/>
      <c r="J846" s="61"/>
      <c r="K846" s="61"/>
    </row>
    <row r="847">
      <c r="C847" s="61"/>
      <c r="H847" s="61"/>
      <c r="I847" s="61"/>
      <c r="J847" s="61"/>
      <c r="K847" s="61"/>
    </row>
    <row r="848">
      <c r="C848" s="61"/>
      <c r="H848" s="61"/>
      <c r="I848" s="61"/>
      <c r="J848" s="61"/>
      <c r="K848" s="61"/>
    </row>
    <row r="849">
      <c r="C849" s="61"/>
      <c r="H849" s="61"/>
      <c r="I849" s="61"/>
      <c r="J849" s="61"/>
      <c r="K849" s="61"/>
    </row>
    <row r="850">
      <c r="C850" s="61"/>
      <c r="H850" s="61"/>
      <c r="I850" s="61"/>
      <c r="J850" s="61"/>
      <c r="K850" s="61"/>
    </row>
    <row r="851">
      <c r="C851" s="61"/>
      <c r="H851" s="61"/>
      <c r="I851" s="61"/>
      <c r="J851" s="61"/>
      <c r="K851" s="61"/>
    </row>
    <row r="852">
      <c r="C852" s="61"/>
      <c r="H852" s="61"/>
      <c r="I852" s="61"/>
      <c r="J852" s="61"/>
      <c r="K852" s="61"/>
    </row>
    <row r="853">
      <c r="C853" s="61"/>
      <c r="H853" s="61"/>
      <c r="I853" s="61"/>
      <c r="J853" s="61"/>
      <c r="K853" s="61"/>
    </row>
    <row r="854">
      <c r="C854" s="61"/>
      <c r="H854" s="61"/>
      <c r="I854" s="61"/>
      <c r="J854" s="61"/>
      <c r="K854" s="61"/>
    </row>
    <row r="855">
      <c r="C855" s="61"/>
      <c r="H855" s="61"/>
      <c r="I855" s="61"/>
      <c r="J855" s="61"/>
      <c r="K855" s="61"/>
    </row>
    <row r="856">
      <c r="C856" s="61"/>
      <c r="H856" s="61"/>
      <c r="I856" s="61"/>
      <c r="J856" s="61"/>
      <c r="K856" s="61"/>
    </row>
    <row r="857">
      <c r="C857" s="61"/>
      <c r="H857" s="61"/>
      <c r="I857" s="61"/>
      <c r="J857" s="61"/>
      <c r="K857" s="61"/>
    </row>
    <row r="858">
      <c r="C858" s="61"/>
      <c r="H858" s="61"/>
      <c r="I858" s="61"/>
      <c r="J858" s="61"/>
      <c r="K858" s="61"/>
    </row>
    <row r="859">
      <c r="C859" s="61"/>
      <c r="H859" s="61"/>
      <c r="I859" s="61"/>
      <c r="J859" s="61"/>
      <c r="K859" s="61"/>
    </row>
    <row r="860">
      <c r="C860" s="61"/>
      <c r="H860" s="61"/>
      <c r="I860" s="61"/>
      <c r="J860" s="61"/>
      <c r="K860" s="61"/>
    </row>
    <row r="861">
      <c r="C861" s="61"/>
      <c r="H861" s="61"/>
      <c r="I861" s="61"/>
      <c r="J861" s="61"/>
      <c r="K861" s="61"/>
    </row>
    <row r="862">
      <c r="C862" s="61"/>
      <c r="H862" s="61"/>
      <c r="I862" s="61"/>
      <c r="J862" s="61"/>
      <c r="K862" s="61"/>
    </row>
    <row r="863">
      <c r="C863" s="61"/>
      <c r="H863" s="61"/>
      <c r="I863" s="61"/>
      <c r="J863" s="61"/>
      <c r="K863" s="61"/>
    </row>
    <row r="864">
      <c r="C864" s="61"/>
      <c r="H864" s="61"/>
      <c r="I864" s="61"/>
      <c r="J864" s="61"/>
      <c r="K864" s="61"/>
    </row>
    <row r="865">
      <c r="C865" s="61"/>
      <c r="H865" s="61"/>
      <c r="I865" s="61"/>
      <c r="J865" s="61"/>
      <c r="K865" s="61"/>
    </row>
    <row r="866">
      <c r="C866" s="61"/>
      <c r="H866" s="61"/>
      <c r="I866" s="61"/>
      <c r="J866" s="61"/>
      <c r="K866" s="61"/>
    </row>
    <row r="867">
      <c r="C867" s="61"/>
      <c r="H867" s="61"/>
      <c r="I867" s="61"/>
      <c r="J867" s="61"/>
      <c r="K867" s="61"/>
    </row>
    <row r="868">
      <c r="C868" s="61"/>
      <c r="H868" s="61"/>
      <c r="I868" s="61"/>
      <c r="J868" s="61"/>
      <c r="K868" s="61"/>
    </row>
    <row r="869">
      <c r="C869" s="61"/>
      <c r="H869" s="61"/>
      <c r="I869" s="61"/>
      <c r="J869" s="61"/>
      <c r="K869" s="61"/>
    </row>
    <row r="870">
      <c r="C870" s="61"/>
      <c r="H870" s="61"/>
      <c r="I870" s="61"/>
      <c r="J870" s="61"/>
      <c r="K870" s="61"/>
    </row>
    <row r="871">
      <c r="C871" s="61"/>
      <c r="H871" s="61"/>
      <c r="I871" s="61"/>
      <c r="J871" s="61"/>
      <c r="K871" s="61"/>
    </row>
    <row r="872">
      <c r="C872" s="61"/>
      <c r="H872" s="61"/>
      <c r="I872" s="61"/>
      <c r="J872" s="61"/>
      <c r="K872" s="61"/>
    </row>
    <row r="873">
      <c r="C873" s="61"/>
      <c r="H873" s="61"/>
      <c r="I873" s="61"/>
      <c r="J873" s="61"/>
      <c r="K873" s="61"/>
    </row>
    <row r="874">
      <c r="C874" s="61"/>
      <c r="H874" s="61"/>
      <c r="I874" s="61"/>
      <c r="J874" s="61"/>
      <c r="K874" s="61"/>
    </row>
    <row r="875">
      <c r="C875" s="61"/>
      <c r="H875" s="61"/>
      <c r="I875" s="61"/>
      <c r="J875" s="61"/>
      <c r="K875" s="61"/>
    </row>
    <row r="876">
      <c r="C876" s="61"/>
      <c r="H876" s="61"/>
      <c r="I876" s="61"/>
      <c r="J876" s="61"/>
      <c r="K876" s="61"/>
    </row>
    <row r="877">
      <c r="C877" s="61"/>
      <c r="H877" s="61"/>
      <c r="I877" s="61"/>
      <c r="J877" s="61"/>
      <c r="K877" s="61"/>
    </row>
    <row r="878">
      <c r="C878" s="61"/>
      <c r="H878" s="61"/>
      <c r="I878" s="61"/>
      <c r="J878" s="61"/>
      <c r="K878" s="61"/>
    </row>
    <row r="879">
      <c r="C879" s="61"/>
      <c r="H879" s="61"/>
      <c r="I879" s="61"/>
      <c r="J879" s="61"/>
      <c r="K879" s="61"/>
    </row>
    <row r="880">
      <c r="C880" s="61"/>
      <c r="H880" s="61"/>
      <c r="I880" s="61"/>
      <c r="J880" s="61"/>
      <c r="K880" s="61"/>
    </row>
    <row r="881">
      <c r="C881" s="61"/>
      <c r="H881" s="61"/>
      <c r="I881" s="61"/>
      <c r="J881" s="61"/>
      <c r="K881" s="61"/>
    </row>
    <row r="882">
      <c r="C882" s="61"/>
      <c r="H882" s="61"/>
      <c r="I882" s="61"/>
      <c r="J882" s="61"/>
      <c r="K882" s="61"/>
    </row>
    <row r="883">
      <c r="C883" s="61"/>
      <c r="H883" s="61"/>
      <c r="I883" s="61"/>
      <c r="J883" s="61"/>
      <c r="K883" s="61"/>
    </row>
    <row r="884">
      <c r="C884" s="61"/>
      <c r="H884" s="61"/>
      <c r="I884" s="61"/>
      <c r="J884" s="61"/>
      <c r="K884" s="61"/>
    </row>
    <row r="885">
      <c r="C885" s="61"/>
      <c r="H885" s="61"/>
      <c r="I885" s="61"/>
      <c r="J885" s="61"/>
      <c r="K885" s="61"/>
    </row>
    <row r="886">
      <c r="C886" s="61"/>
      <c r="H886" s="61"/>
      <c r="I886" s="61"/>
      <c r="J886" s="61"/>
      <c r="K886" s="61"/>
    </row>
    <row r="887">
      <c r="C887" s="61"/>
      <c r="H887" s="61"/>
      <c r="I887" s="61"/>
      <c r="J887" s="61"/>
      <c r="K887" s="61"/>
    </row>
    <row r="888">
      <c r="C888" s="61"/>
      <c r="H888" s="61"/>
      <c r="I888" s="61"/>
      <c r="J888" s="61"/>
      <c r="K888" s="61"/>
    </row>
    <row r="889">
      <c r="C889" s="61"/>
      <c r="H889" s="61"/>
      <c r="I889" s="61"/>
      <c r="J889" s="61"/>
      <c r="K889" s="61"/>
    </row>
    <row r="890">
      <c r="C890" s="61"/>
      <c r="H890" s="61"/>
      <c r="I890" s="61"/>
      <c r="J890" s="61"/>
      <c r="K890" s="61"/>
    </row>
    <row r="891">
      <c r="C891" s="61"/>
      <c r="H891" s="61"/>
      <c r="I891" s="61"/>
      <c r="J891" s="61"/>
      <c r="K891" s="61"/>
    </row>
    <row r="892">
      <c r="C892" s="61"/>
      <c r="H892" s="61"/>
      <c r="I892" s="61"/>
      <c r="J892" s="61"/>
      <c r="K892" s="61"/>
    </row>
    <row r="893">
      <c r="C893" s="61"/>
      <c r="H893" s="61"/>
      <c r="I893" s="61"/>
      <c r="J893" s="61"/>
      <c r="K893" s="61"/>
    </row>
    <row r="894">
      <c r="C894" s="61"/>
      <c r="H894" s="61"/>
      <c r="I894" s="61"/>
      <c r="J894" s="61"/>
      <c r="K894" s="61"/>
    </row>
    <row r="895">
      <c r="C895" s="61"/>
      <c r="H895" s="61"/>
      <c r="I895" s="61"/>
      <c r="J895" s="61"/>
      <c r="K895" s="61"/>
    </row>
    <row r="896">
      <c r="C896" s="61"/>
      <c r="H896" s="61"/>
      <c r="I896" s="61"/>
      <c r="J896" s="61"/>
      <c r="K896" s="61"/>
    </row>
    <row r="897">
      <c r="C897" s="61"/>
      <c r="H897" s="61"/>
      <c r="I897" s="61"/>
      <c r="J897" s="61"/>
      <c r="K897" s="61"/>
    </row>
    <row r="898">
      <c r="C898" s="61"/>
      <c r="H898" s="61"/>
      <c r="I898" s="61"/>
      <c r="J898" s="61"/>
      <c r="K898" s="61"/>
    </row>
    <row r="899">
      <c r="C899" s="61"/>
      <c r="H899" s="61"/>
      <c r="I899" s="61"/>
      <c r="J899" s="61"/>
      <c r="K899" s="61"/>
    </row>
    <row r="900">
      <c r="C900" s="61"/>
      <c r="H900" s="61"/>
      <c r="I900" s="61"/>
      <c r="J900" s="61"/>
      <c r="K900" s="61"/>
    </row>
    <row r="901">
      <c r="C901" s="61"/>
      <c r="H901" s="61"/>
      <c r="I901" s="61"/>
      <c r="J901" s="61"/>
      <c r="K901" s="61"/>
    </row>
    <row r="902">
      <c r="C902" s="61"/>
      <c r="H902" s="61"/>
      <c r="I902" s="61"/>
      <c r="J902" s="61"/>
      <c r="K902" s="61"/>
    </row>
    <row r="903">
      <c r="C903" s="61"/>
      <c r="H903" s="61"/>
      <c r="I903" s="61"/>
      <c r="J903" s="61"/>
      <c r="K903" s="61"/>
    </row>
    <row r="904">
      <c r="C904" s="61"/>
      <c r="H904" s="61"/>
      <c r="I904" s="61"/>
      <c r="J904" s="61"/>
      <c r="K904" s="61"/>
    </row>
    <row r="905">
      <c r="C905" s="61"/>
      <c r="H905" s="61"/>
      <c r="I905" s="61"/>
      <c r="J905" s="61"/>
      <c r="K905" s="61"/>
    </row>
    <row r="906">
      <c r="C906" s="61"/>
      <c r="H906" s="61"/>
      <c r="I906" s="61"/>
      <c r="J906" s="61"/>
      <c r="K906" s="61"/>
    </row>
    <row r="907">
      <c r="C907" s="61"/>
      <c r="H907" s="61"/>
      <c r="I907" s="61"/>
      <c r="J907" s="61"/>
      <c r="K907" s="61"/>
    </row>
    <row r="908">
      <c r="C908" s="61"/>
      <c r="H908" s="61"/>
      <c r="I908" s="61"/>
      <c r="J908" s="61"/>
      <c r="K908" s="61"/>
    </row>
    <row r="909">
      <c r="C909" s="61"/>
      <c r="H909" s="61"/>
      <c r="I909" s="61"/>
      <c r="J909" s="61"/>
      <c r="K909" s="61"/>
    </row>
    <row r="910">
      <c r="C910" s="61"/>
      <c r="H910" s="61"/>
      <c r="I910" s="61"/>
      <c r="J910" s="61"/>
      <c r="K910" s="61"/>
    </row>
    <row r="911">
      <c r="C911" s="61"/>
      <c r="H911" s="61"/>
      <c r="I911" s="61"/>
      <c r="J911" s="61"/>
      <c r="K911" s="61"/>
    </row>
    <row r="912">
      <c r="C912" s="61"/>
      <c r="H912" s="61"/>
      <c r="I912" s="61"/>
      <c r="J912" s="61"/>
      <c r="K912" s="61"/>
    </row>
    <row r="913">
      <c r="C913" s="61"/>
      <c r="H913" s="61"/>
      <c r="I913" s="61"/>
      <c r="J913" s="61"/>
      <c r="K913" s="61"/>
    </row>
    <row r="914">
      <c r="C914" s="61"/>
      <c r="H914" s="61"/>
      <c r="I914" s="61"/>
      <c r="J914" s="61"/>
      <c r="K914" s="61"/>
    </row>
    <row r="915">
      <c r="C915" s="61"/>
      <c r="H915" s="61"/>
      <c r="I915" s="61"/>
      <c r="J915" s="61"/>
      <c r="K915" s="61"/>
    </row>
    <row r="916">
      <c r="C916" s="61"/>
      <c r="H916" s="61"/>
      <c r="I916" s="61"/>
      <c r="J916" s="61"/>
      <c r="K916" s="61"/>
    </row>
    <row r="917">
      <c r="C917" s="61"/>
      <c r="H917" s="61"/>
      <c r="I917" s="61"/>
      <c r="J917" s="61"/>
      <c r="K917" s="61"/>
    </row>
    <row r="918">
      <c r="C918" s="61"/>
      <c r="H918" s="61"/>
      <c r="I918" s="61"/>
      <c r="J918" s="61"/>
      <c r="K918" s="61"/>
    </row>
    <row r="919">
      <c r="C919" s="61"/>
      <c r="H919" s="61"/>
      <c r="I919" s="61"/>
      <c r="J919" s="61"/>
      <c r="K919" s="61"/>
    </row>
    <row r="920">
      <c r="C920" s="61"/>
      <c r="H920" s="61"/>
      <c r="I920" s="61"/>
      <c r="J920" s="61"/>
      <c r="K920" s="61"/>
    </row>
    <row r="921">
      <c r="C921" s="61"/>
      <c r="H921" s="61"/>
      <c r="I921" s="61"/>
      <c r="J921" s="61"/>
      <c r="K921" s="61"/>
    </row>
    <row r="922">
      <c r="C922" s="61"/>
      <c r="H922" s="61"/>
      <c r="I922" s="61"/>
      <c r="J922" s="61"/>
      <c r="K922" s="61"/>
    </row>
    <row r="923">
      <c r="C923" s="61"/>
      <c r="H923" s="61"/>
      <c r="I923" s="61"/>
      <c r="J923" s="61"/>
      <c r="K923" s="61"/>
    </row>
    <row r="924">
      <c r="C924" s="61"/>
      <c r="H924" s="61"/>
      <c r="I924" s="61"/>
      <c r="J924" s="61"/>
      <c r="K924" s="61"/>
    </row>
    <row r="925">
      <c r="C925" s="61"/>
      <c r="H925" s="61"/>
      <c r="I925" s="61"/>
      <c r="J925" s="61"/>
      <c r="K925" s="61"/>
    </row>
    <row r="926">
      <c r="C926" s="61"/>
      <c r="H926" s="61"/>
      <c r="I926" s="61"/>
      <c r="J926" s="61"/>
      <c r="K926" s="61"/>
    </row>
    <row r="927">
      <c r="C927" s="61"/>
      <c r="H927" s="61"/>
      <c r="I927" s="61"/>
      <c r="J927" s="61"/>
      <c r="K927" s="61"/>
    </row>
    <row r="928">
      <c r="C928" s="61"/>
      <c r="H928" s="61"/>
      <c r="I928" s="61"/>
      <c r="J928" s="61"/>
      <c r="K928" s="61"/>
    </row>
    <row r="929">
      <c r="C929" s="61"/>
      <c r="H929" s="61"/>
      <c r="I929" s="61"/>
      <c r="J929" s="61"/>
      <c r="K929" s="61"/>
    </row>
    <row r="930">
      <c r="C930" s="61"/>
      <c r="H930" s="61"/>
      <c r="I930" s="61"/>
      <c r="J930" s="61"/>
      <c r="K930" s="61"/>
    </row>
    <row r="931">
      <c r="C931" s="61"/>
      <c r="H931" s="61"/>
      <c r="I931" s="61"/>
      <c r="J931" s="61"/>
      <c r="K931" s="61"/>
    </row>
    <row r="932">
      <c r="C932" s="61"/>
      <c r="H932" s="61"/>
      <c r="I932" s="61"/>
      <c r="J932" s="61"/>
      <c r="K932" s="61"/>
    </row>
    <row r="933">
      <c r="C933" s="61"/>
      <c r="H933" s="61"/>
      <c r="I933" s="61"/>
      <c r="J933" s="61"/>
      <c r="K933" s="61"/>
    </row>
    <row r="934">
      <c r="C934" s="61"/>
      <c r="H934" s="61"/>
      <c r="I934" s="61"/>
      <c r="J934" s="61"/>
      <c r="K934" s="61"/>
    </row>
    <row r="935">
      <c r="C935" s="61"/>
      <c r="H935" s="61"/>
      <c r="I935" s="61"/>
      <c r="J935" s="61"/>
      <c r="K935" s="61"/>
    </row>
    <row r="936">
      <c r="C936" s="61"/>
      <c r="H936" s="61"/>
      <c r="I936" s="61"/>
      <c r="J936" s="61"/>
      <c r="K936" s="61"/>
    </row>
    <row r="937">
      <c r="C937" s="61"/>
      <c r="H937" s="61"/>
      <c r="I937" s="61"/>
      <c r="J937" s="61"/>
      <c r="K937" s="61"/>
    </row>
    <row r="938">
      <c r="C938" s="61"/>
      <c r="H938" s="61"/>
      <c r="I938" s="61"/>
      <c r="J938" s="61"/>
      <c r="K938" s="61"/>
    </row>
    <row r="939">
      <c r="C939" s="61"/>
      <c r="H939" s="61"/>
      <c r="I939" s="61"/>
      <c r="J939" s="61"/>
      <c r="K939" s="61"/>
    </row>
    <row r="940">
      <c r="C940" s="61"/>
      <c r="H940" s="61"/>
      <c r="I940" s="61"/>
      <c r="J940" s="61"/>
      <c r="K940" s="61"/>
    </row>
    <row r="941">
      <c r="C941" s="61"/>
      <c r="H941" s="61"/>
      <c r="I941" s="61"/>
      <c r="J941" s="61"/>
      <c r="K941" s="61"/>
    </row>
    <row r="942">
      <c r="C942" s="61"/>
      <c r="H942" s="61"/>
      <c r="I942" s="61"/>
      <c r="J942" s="61"/>
      <c r="K942" s="61"/>
    </row>
    <row r="943">
      <c r="C943" s="61"/>
      <c r="H943" s="61"/>
      <c r="I943" s="61"/>
      <c r="J943" s="61"/>
      <c r="K943" s="61"/>
    </row>
    <row r="944">
      <c r="C944" s="61"/>
      <c r="H944" s="61"/>
      <c r="I944" s="61"/>
      <c r="J944" s="61"/>
      <c r="K944" s="61"/>
    </row>
    <row r="945">
      <c r="C945" s="61"/>
      <c r="H945" s="61"/>
      <c r="I945" s="61"/>
      <c r="J945" s="61"/>
      <c r="K945" s="61"/>
    </row>
    <row r="946">
      <c r="C946" s="61"/>
      <c r="H946" s="61"/>
      <c r="I946" s="61"/>
      <c r="J946" s="61"/>
      <c r="K946" s="61"/>
    </row>
    <row r="947">
      <c r="C947" s="61"/>
      <c r="H947" s="61"/>
      <c r="I947" s="61"/>
      <c r="J947" s="61"/>
      <c r="K947" s="61"/>
    </row>
    <row r="948">
      <c r="C948" s="61"/>
      <c r="H948" s="61"/>
      <c r="I948" s="61"/>
      <c r="J948" s="61"/>
      <c r="K948" s="61"/>
    </row>
    <row r="949">
      <c r="C949" s="61"/>
      <c r="H949" s="61"/>
      <c r="I949" s="61"/>
      <c r="J949" s="61"/>
      <c r="K949" s="61"/>
    </row>
    <row r="950">
      <c r="C950" s="61"/>
      <c r="H950" s="61"/>
      <c r="I950" s="61"/>
      <c r="J950" s="61"/>
      <c r="K950" s="61"/>
    </row>
    <row r="951">
      <c r="C951" s="61"/>
      <c r="H951" s="61"/>
      <c r="I951" s="61"/>
      <c r="J951" s="61"/>
      <c r="K951" s="61"/>
    </row>
    <row r="952">
      <c r="C952" s="61"/>
      <c r="H952" s="61"/>
      <c r="I952" s="61"/>
      <c r="J952" s="61"/>
      <c r="K952" s="61"/>
    </row>
    <row r="953">
      <c r="C953" s="61"/>
      <c r="H953" s="61"/>
      <c r="I953" s="61"/>
      <c r="J953" s="61"/>
      <c r="K953" s="61"/>
    </row>
    <row r="954">
      <c r="C954" s="61"/>
      <c r="H954" s="61"/>
      <c r="I954" s="61"/>
      <c r="J954" s="61"/>
      <c r="K954" s="61"/>
    </row>
    <row r="955">
      <c r="C955" s="61"/>
      <c r="H955" s="61"/>
      <c r="I955" s="61"/>
      <c r="J955" s="61"/>
      <c r="K955" s="61"/>
    </row>
    <row r="956">
      <c r="C956" s="61"/>
      <c r="H956" s="61"/>
      <c r="I956" s="61"/>
      <c r="J956" s="61"/>
      <c r="K956" s="61"/>
    </row>
    <row r="957">
      <c r="C957" s="61"/>
      <c r="H957" s="61"/>
      <c r="I957" s="61"/>
      <c r="J957" s="61"/>
      <c r="K957" s="61"/>
    </row>
    <row r="958">
      <c r="C958" s="61"/>
      <c r="H958" s="61"/>
      <c r="I958" s="61"/>
      <c r="J958" s="61"/>
      <c r="K958" s="61"/>
    </row>
    <row r="959">
      <c r="C959" s="61"/>
      <c r="H959" s="61"/>
      <c r="I959" s="61"/>
      <c r="J959" s="61"/>
      <c r="K959" s="61"/>
    </row>
    <row r="960">
      <c r="C960" s="61"/>
      <c r="H960" s="61"/>
      <c r="I960" s="61"/>
      <c r="J960" s="61"/>
      <c r="K960" s="61"/>
    </row>
    <row r="961">
      <c r="C961" s="61"/>
      <c r="H961" s="61"/>
      <c r="I961" s="61"/>
      <c r="J961" s="61"/>
      <c r="K961" s="61"/>
    </row>
    <row r="962">
      <c r="C962" s="61"/>
      <c r="H962" s="61"/>
      <c r="I962" s="61"/>
      <c r="J962" s="61"/>
      <c r="K962" s="61"/>
    </row>
    <row r="963">
      <c r="C963" s="61"/>
      <c r="H963" s="61"/>
      <c r="I963" s="61"/>
      <c r="J963" s="61"/>
      <c r="K963" s="61"/>
    </row>
    <row r="964">
      <c r="C964" s="61"/>
      <c r="H964" s="61"/>
      <c r="I964" s="61"/>
      <c r="J964" s="61"/>
      <c r="K964" s="61"/>
    </row>
    <row r="965">
      <c r="C965" s="61"/>
      <c r="H965" s="61"/>
      <c r="I965" s="61"/>
      <c r="J965" s="61"/>
      <c r="K965" s="61"/>
    </row>
    <row r="966">
      <c r="C966" s="61"/>
      <c r="H966" s="61"/>
      <c r="I966" s="61"/>
      <c r="J966" s="61"/>
      <c r="K966" s="61"/>
    </row>
    <row r="967">
      <c r="C967" s="61"/>
      <c r="H967" s="61"/>
      <c r="I967" s="61"/>
      <c r="J967" s="61"/>
      <c r="K967" s="61"/>
    </row>
    <row r="968">
      <c r="C968" s="61"/>
      <c r="H968" s="61"/>
      <c r="I968" s="61"/>
      <c r="J968" s="61"/>
      <c r="K968" s="61"/>
    </row>
    <row r="969">
      <c r="C969" s="61"/>
      <c r="H969" s="61"/>
      <c r="I969" s="61"/>
      <c r="J969" s="61"/>
      <c r="K969" s="61"/>
    </row>
    <row r="970">
      <c r="C970" s="61"/>
      <c r="H970" s="61"/>
      <c r="I970" s="61"/>
      <c r="J970" s="61"/>
      <c r="K970" s="61"/>
    </row>
    <row r="971">
      <c r="C971" s="61"/>
      <c r="H971" s="61"/>
      <c r="I971" s="61"/>
      <c r="J971" s="61"/>
      <c r="K971" s="61"/>
    </row>
    <row r="972">
      <c r="C972" s="61"/>
      <c r="H972" s="61"/>
      <c r="I972" s="61"/>
      <c r="J972" s="61"/>
      <c r="K972" s="61"/>
    </row>
    <row r="973">
      <c r="C973" s="61"/>
      <c r="H973" s="61"/>
      <c r="I973" s="61"/>
      <c r="J973" s="61"/>
      <c r="K973" s="61"/>
    </row>
    <row r="974">
      <c r="C974" s="61"/>
      <c r="H974" s="61"/>
      <c r="I974" s="61"/>
      <c r="J974" s="61"/>
      <c r="K974" s="61"/>
    </row>
    <row r="975">
      <c r="C975" s="61"/>
      <c r="H975" s="61"/>
      <c r="I975" s="61"/>
      <c r="J975" s="61"/>
      <c r="K975" s="61"/>
    </row>
    <row r="976">
      <c r="C976" s="61"/>
      <c r="H976" s="61"/>
      <c r="I976" s="61"/>
      <c r="J976" s="61"/>
      <c r="K976" s="61"/>
    </row>
    <row r="977">
      <c r="C977" s="61"/>
      <c r="H977" s="61"/>
      <c r="I977" s="61"/>
      <c r="J977" s="61"/>
      <c r="K977" s="61"/>
    </row>
    <row r="978">
      <c r="C978" s="61"/>
      <c r="H978" s="61"/>
      <c r="I978" s="61"/>
      <c r="J978" s="61"/>
      <c r="K978" s="61"/>
    </row>
    <row r="979">
      <c r="C979" s="61"/>
      <c r="H979" s="61"/>
      <c r="I979" s="61"/>
      <c r="J979" s="61"/>
      <c r="K979" s="61"/>
    </row>
    <row r="980">
      <c r="C980" s="61"/>
      <c r="H980" s="61"/>
      <c r="I980" s="61"/>
      <c r="J980" s="61"/>
      <c r="K980" s="61"/>
    </row>
    <row r="981">
      <c r="C981" s="61"/>
      <c r="H981" s="61"/>
      <c r="I981" s="61"/>
      <c r="J981" s="61"/>
      <c r="K981" s="61"/>
    </row>
    <row r="982">
      <c r="C982" s="61"/>
      <c r="H982" s="61"/>
      <c r="I982" s="61"/>
      <c r="J982" s="61"/>
      <c r="K982" s="61"/>
    </row>
    <row r="983">
      <c r="C983" s="61"/>
      <c r="H983" s="61"/>
      <c r="I983" s="61"/>
      <c r="J983" s="61"/>
      <c r="K983" s="61"/>
    </row>
    <row r="984">
      <c r="C984" s="61"/>
      <c r="H984" s="61"/>
      <c r="I984" s="61"/>
      <c r="J984" s="61"/>
      <c r="K984" s="61"/>
    </row>
    <row r="985">
      <c r="C985" s="61"/>
      <c r="H985" s="61"/>
      <c r="I985" s="61"/>
      <c r="J985" s="61"/>
      <c r="K985" s="61"/>
    </row>
    <row r="986">
      <c r="C986" s="61"/>
      <c r="H986" s="61"/>
      <c r="I986" s="61"/>
      <c r="J986" s="61"/>
      <c r="K986" s="61"/>
    </row>
    <row r="987">
      <c r="C987" s="61"/>
      <c r="H987" s="61"/>
      <c r="I987" s="61"/>
      <c r="J987" s="61"/>
      <c r="K987" s="61"/>
    </row>
    <row r="988">
      <c r="C988" s="61"/>
      <c r="H988" s="61"/>
      <c r="I988" s="61"/>
      <c r="J988" s="61"/>
      <c r="K988" s="61"/>
    </row>
    <row r="989">
      <c r="C989" s="61"/>
      <c r="H989" s="61"/>
      <c r="I989" s="61"/>
      <c r="J989" s="61"/>
      <c r="K989" s="61"/>
    </row>
    <row r="990">
      <c r="C990" s="61"/>
      <c r="H990" s="61"/>
      <c r="I990" s="61"/>
      <c r="J990" s="61"/>
      <c r="K990" s="61"/>
    </row>
    <row r="991">
      <c r="C991" s="61"/>
      <c r="H991" s="61"/>
      <c r="I991" s="61"/>
      <c r="J991" s="61"/>
      <c r="K991" s="61"/>
    </row>
    <row r="992">
      <c r="C992" s="61"/>
      <c r="H992" s="61"/>
      <c r="I992" s="61"/>
      <c r="J992" s="61"/>
      <c r="K992" s="61"/>
    </row>
    <row r="993">
      <c r="C993" s="61"/>
      <c r="H993" s="61"/>
      <c r="I993" s="61"/>
      <c r="J993" s="61"/>
      <c r="K993" s="61"/>
    </row>
    <row r="994">
      <c r="C994" s="61"/>
      <c r="H994" s="61"/>
      <c r="I994" s="61"/>
      <c r="J994" s="61"/>
      <c r="K994" s="61"/>
    </row>
    <row r="995">
      <c r="C995" s="61"/>
      <c r="H995" s="61"/>
      <c r="I995" s="61"/>
      <c r="J995" s="61"/>
      <c r="K995" s="61"/>
    </row>
    <row r="996">
      <c r="C996" s="61"/>
      <c r="H996" s="61"/>
      <c r="I996" s="61"/>
      <c r="J996" s="61"/>
      <c r="K996" s="61"/>
    </row>
    <row r="997">
      <c r="C997" s="61"/>
      <c r="H997" s="61"/>
      <c r="I997" s="61"/>
      <c r="J997" s="61"/>
      <c r="K997" s="61"/>
    </row>
    <row r="998">
      <c r="C998" s="61"/>
      <c r="H998" s="61"/>
      <c r="I998" s="61"/>
      <c r="J998" s="61"/>
      <c r="K998" s="61"/>
    </row>
    <row r="999">
      <c r="C999" s="61"/>
      <c r="H999" s="61"/>
      <c r="I999" s="61"/>
      <c r="J999" s="61"/>
      <c r="K999" s="61"/>
    </row>
    <row r="1000">
      <c r="C1000" s="61"/>
      <c r="H1000" s="61"/>
      <c r="I1000" s="61"/>
      <c r="J1000" s="61"/>
      <c r="K1000" s="61"/>
    </row>
    <row r="1001">
      <c r="C1001" s="61"/>
      <c r="H1001" s="61"/>
      <c r="I1001" s="61"/>
      <c r="J1001" s="61"/>
      <c r="K1001" s="61"/>
    </row>
    <row r="1002">
      <c r="C1002" s="61"/>
      <c r="H1002" s="61"/>
      <c r="I1002" s="61"/>
      <c r="J1002" s="61"/>
      <c r="K1002" s="61"/>
    </row>
    <row r="1003">
      <c r="C1003" s="61"/>
      <c r="H1003" s="61"/>
      <c r="I1003" s="61"/>
      <c r="J1003" s="61"/>
      <c r="K1003" s="61"/>
    </row>
    <row r="1004">
      <c r="C1004" s="61"/>
      <c r="H1004" s="61"/>
      <c r="I1004" s="61"/>
      <c r="J1004" s="61"/>
      <c r="K1004" s="61"/>
    </row>
    <row r="1005">
      <c r="C1005" s="61"/>
      <c r="H1005" s="61"/>
      <c r="I1005" s="61"/>
      <c r="J1005" s="61"/>
      <c r="K1005" s="61"/>
    </row>
    <row r="1006">
      <c r="C1006" s="61"/>
      <c r="H1006" s="61"/>
      <c r="I1006" s="61"/>
      <c r="J1006" s="61"/>
      <c r="K1006" s="61"/>
    </row>
    <row r="1007">
      <c r="C1007" s="61"/>
      <c r="H1007" s="61"/>
      <c r="I1007" s="61"/>
      <c r="J1007" s="61"/>
      <c r="K1007" s="61"/>
    </row>
    <row r="1008">
      <c r="C1008" s="61"/>
      <c r="H1008" s="61"/>
      <c r="I1008" s="61"/>
      <c r="J1008" s="61"/>
      <c r="K1008" s="61"/>
    </row>
    <row r="1009">
      <c r="C1009" s="61"/>
      <c r="H1009" s="61"/>
      <c r="I1009" s="61"/>
      <c r="J1009" s="61"/>
      <c r="K1009" s="61"/>
    </row>
    <row r="1010">
      <c r="C1010" s="61"/>
      <c r="H1010" s="61"/>
      <c r="I1010" s="61"/>
      <c r="J1010" s="61"/>
      <c r="K1010" s="61"/>
    </row>
    <row r="1011">
      <c r="C1011" s="61"/>
      <c r="H1011" s="61"/>
      <c r="I1011" s="61"/>
      <c r="J1011" s="61"/>
      <c r="K1011" s="61"/>
    </row>
    <row r="1012">
      <c r="C1012" s="61"/>
      <c r="H1012" s="61"/>
      <c r="I1012" s="61"/>
      <c r="J1012" s="61"/>
      <c r="K1012" s="61"/>
    </row>
    <row r="1013">
      <c r="C1013" s="61"/>
      <c r="H1013" s="61"/>
      <c r="I1013" s="61"/>
      <c r="J1013" s="61"/>
      <c r="K1013" s="61"/>
    </row>
    <row r="1014">
      <c r="C1014" s="61"/>
      <c r="H1014" s="61"/>
      <c r="I1014" s="61"/>
      <c r="J1014" s="61"/>
      <c r="K1014" s="61"/>
    </row>
    <row r="1015">
      <c r="C1015" s="61"/>
      <c r="H1015" s="61"/>
      <c r="I1015" s="61"/>
      <c r="J1015" s="61"/>
      <c r="K1015" s="61"/>
    </row>
    <row r="1016">
      <c r="C1016" s="61"/>
      <c r="H1016" s="61"/>
      <c r="I1016" s="61"/>
      <c r="J1016" s="61"/>
      <c r="K1016" s="61"/>
    </row>
    <row r="1017">
      <c r="C1017" s="61"/>
      <c r="H1017" s="61"/>
      <c r="I1017" s="61"/>
      <c r="J1017" s="61"/>
      <c r="K1017" s="61"/>
    </row>
    <row r="1018">
      <c r="C1018" s="61"/>
      <c r="H1018" s="61"/>
      <c r="I1018" s="61"/>
      <c r="J1018" s="61"/>
      <c r="K1018" s="61"/>
    </row>
    <row r="1019">
      <c r="C1019" s="61"/>
      <c r="H1019" s="61"/>
      <c r="I1019" s="61"/>
      <c r="J1019" s="61"/>
      <c r="K1019" s="61"/>
    </row>
    <row r="1020">
      <c r="C1020" s="61"/>
      <c r="H1020" s="61"/>
      <c r="I1020" s="61"/>
      <c r="J1020" s="61"/>
      <c r="K1020" s="61"/>
    </row>
    <row r="1021">
      <c r="C1021" s="61"/>
      <c r="H1021" s="61"/>
      <c r="I1021" s="61"/>
      <c r="J1021" s="61"/>
      <c r="K1021" s="61"/>
    </row>
    <row r="1022">
      <c r="C1022" s="61"/>
      <c r="H1022" s="61"/>
      <c r="I1022" s="61"/>
      <c r="J1022" s="61"/>
      <c r="K1022" s="61"/>
    </row>
    <row r="1023">
      <c r="C1023" s="61"/>
      <c r="H1023" s="61"/>
      <c r="I1023" s="61"/>
      <c r="J1023" s="61"/>
      <c r="K1023" s="61"/>
    </row>
    <row r="1024">
      <c r="C1024" s="61"/>
      <c r="H1024" s="61"/>
      <c r="I1024" s="61"/>
      <c r="J1024" s="61"/>
      <c r="K1024" s="61"/>
    </row>
    <row r="1025">
      <c r="C1025" s="61"/>
      <c r="H1025" s="61"/>
      <c r="I1025" s="61"/>
      <c r="J1025" s="61"/>
      <c r="K1025" s="61"/>
    </row>
    <row r="1026">
      <c r="C1026" s="61"/>
      <c r="H1026" s="61"/>
      <c r="I1026" s="61"/>
      <c r="J1026" s="61"/>
      <c r="K1026" s="61"/>
    </row>
    <row r="1027">
      <c r="C1027" s="61"/>
      <c r="H1027" s="61"/>
      <c r="I1027" s="61"/>
      <c r="J1027" s="61"/>
      <c r="K1027" s="61"/>
    </row>
    <row r="1028">
      <c r="C1028" s="61"/>
      <c r="H1028" s="61"/>
      <c r="I1028" s="61"/>
      <c r="J1028" s="61"/>
      <c r="K1028" s="61"/>
    </row>
  </sheetData>
  <mergeCells count="22">
    <mergeCell ref="B9:B11"/>
    <mergeCell ref="B12:B14"/>
    <mergeCell ref="B15:B17"/>
    <mergeCell ref="B18:B20"/>
    <mergeCell ref="B21:B23"/>
    <mergeCell ref="B24:B26"/>
    <mergeCell ref="A1:A5"/>
    <mergeCell ref="B1:O1"/>
    <mergeCell ref="D2:F2"/>
    <mergeCell ref="D3:F3"/>
    <mergeCell ref="B4:O4"/>
    <mergeCell ref="A6:A32"/>
    <mergeCell ref="B6:B8"/>
    <mergeCell ref="C48:S48"/>
    <mergeCell ref="C49:S49"/>
    <mergeCell ref="B27:B29"/>
    <mergeCell ref="B30:B32"/>
    <mergeCell ref="B33:B35"/>
    <mergeCell ref="B36:B38"/>
    <mergeCell ref="B39:B41"/>
    <mergeCell ref="B42:B44"/>
    <mergeCell ref="B45:B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13"/>
    <col customWidth="1" min="3" max="3" width="15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9" t="s">
        <v>23</v>
      </c>
      <c r="U5" s="9" t="s">
        <v>24</v>
      </c>
      <c r="V5" s="9" t="s">
        <v>25</v>
      </c>
      <c r="W5" s="10" t="s">
        <v>26</v>
      </c>
      <c r="X5" s="11" t="s">
        <v>27</v>
      </c>
    </row>
    <row r="6" ht="22.5" customHeight="1">
      <c r="A6" s="1"/>
      <c r="B6" s="12">
        <v>0.0</v>
      </c>
      <c r="C6" s="13" t="s">
        <v>28</v>
      </c>
      <c r="D6" s="14">
        <v>45628.0</v>
      </c>
      <c r="E6" s="14">
        <v>45631.0</v>
      </c>
      <c r="F6" s="15">
        <v>45634.0</v>
      </c>
      <c r="G6" s="14">
        <v>45641.0</v>
      </c>
      <c r="H6" s="14">
        <v>45644.0</v>
      </c>
      <c r="I6" s="14">
        <v>45646.0</v>
      </c>
      <c r="J6" s="14">
        <v>45647.0</v>
      </c>
      <c r="K6" s="15">
        <v>45649.0</v>
      </c>
      <c r="L6" s="16"/>
      <c r="M6" s="16"/>
      <c r="N6" s="17"/>
      <c r="O6" s="17"/>
      <c r="P6" s="18"/>
      <c r="Q6" s="19"/>
      <c r="R6" s="19"/>
      <c r="S6" s="19"/>
      <c r="T6" s="18">
        <v>46003.0</v>
      </c>
      <c r="U6" s="19"/>
      <c r="V6" s="19"/>
      <c r="W6" s="19"/>
      <c r="X6" s="20"/>
      <c r="Y6" s="21"/>
      <c r="Z6" s="21"/>
      <c r="AA6" s="21"/>
      <c r="AB6" s="21"/>
      <c r="AC6" s="21"/>
      <c r="AD6" s="21"/>
      <c r="AE6" s="21"/>
      <c r="AF6" s="21"/>
    </row>
    <row r="7" ht="33.75" customHeight="1">
      <c r="B7" s="22"/>
      <c r="C7" s="23" t="s">
        <v>29</v>
      </c>
      <c r="D7" s="24">
        <v>2.0</v>
      </c>
      <c r="E7" s="24">
        <v>1.5</v>
      </c>
      <c r="F7" s="23">
        <v>0.0</v>
      </c>
      <c r="G7" s="24">
        <v>1.5</v>
      </c>
      <c r="H7" s="23">
        <v>2.0</v>
      </c>
      <c r="I7" s="24">
        <v>1.0</v>
      </c>
      <c r="J7" s="24">
        <v>2.0</v>
      </c>
      <c r="K7" s="23">
        <v>0.0</v>
      </c>
      <c r="L7" s="25"/>
      <c r="M7" s="25"/>
      <c r="N7" s="26"/>
      <c r="O7" s="26"/>
      <c r="P7" s="24"/>
      <c r="Q7" s="19"/>
      <c r="R7" s="19"/>
      <c r="S7" s="24"/>
      <c r="T7" s="24">
        <v>2.0</v>
      </c>
      <c r="U7" s="19"/>
      <c r="V7" s="19"/>
      <c r="W7" s="24">
        <f>SUM(G7:V7)</f>
        <v>8.5</v>
      </c>
      <c r="X7" s="27">
        <v>0.0</v>
      </c>
    </row>
    <row r="8" ht="33.75" customHeight="1">
      <c r="B8" s="28"/>
      <c r="C8" s="29" t="s">
        <v>30</v>
      </c>
      <c r="D8" s="25"/>
      <c r="E8" s="25"/>
      <c r="F8" s="29" t="s">
        <v>31</v>
      </c>
      <c r="G8" s="25"/>
      <c r="H8" s="29" t="s">
        <v>32</v>
      </c>
      <c r="I8" s="25"/>
      <c r="J8" s="25"/>
      <c r="K8" s="29" t="s">
        <v>33</v>
      </c>
      <c r="L8" s="25"/>
      <c r="M8" s="25"/>
      <c r="N8" s="26"/>
      <c r="O8" s="26"/>
      <c r="P8" s="24"/>
      <c r="Q8" s="19"/>
      <c r="R8" s="19"/>
      <c r="S8" s="24"/>
      <c r="T8" s="24"/>
      <c r="U8" s="19"/>
      <c r="V8" s="19"/>
      <c r="W8" s="24"/>
      <c r="X8" s="20"/>
    </row>
    <row r="9" ht="22.5" customHeight="1">
      <c r="B9" s="12">
        <v>1.0</v>
      </c>
      <c r="C9" s="30" t="s">
        <v>34</v>
      </c>
      <c r="D9" s="45">
        <v>45992.0</v>
      </c>
      <c r="E9" s="45">
        <v>45995.0</v>
      </c>
      <c r="F9" s="45">
        <v>45999.0</v>
      </c>
      <c r="G9" s="45">
        <v>46002.0</v>
      </c>
      <c r="H9" s="45">
        <v>46006.0</v>
      </c>
      <c r="I9" s="45">
        <v>46009.0</v>
      </c>
      <c r="J9" s="45">
        <v>46013.0</v>
      </c>
      <c r="K9" s="63">
        <v>46020.0</v>
      </c>
      <c r="L9" s="50"/>
      <c r="M9" s="46"/>
      <c r="N9" s="34"/>
      <c r="O9" s="34"/>
      <c r="P9" s="35"/>
      <c r="Q9" s="36"/>
      <c r="R9" s="36"/>
      <c r="S9" s="36"/>
      <c r="T9" s="36"/>
      <c r="U9" s="36"/>
      <c r="V9" s="36"/>
      <c r="W9" s="36"/>
      <c r="X9" s="20"/>
      <c r="Y9" s="21"/>
      <c r="Z9" s="21"/>
      <c r="AA9" s="21"/>
      <c r="AB9" s="21"/>
      <c r="AC9" s="21"/>
      <c r="AD9" s="21"/>
      <c r="AE9" s="21"/>
      <c r="AF9" s="21"/>
    </row>
    <row r="10" ht="22.5" customHeight="1">
      <c r="B10" s="22"/>
      <c r="C10" s="37" t="s">
        <v>29</v>
      </c>
      <c r="D10" s="38">
        <v>1.0</v>
      </c>
      <c r="E10" s="38">
        <v>1.5</v>
      </c>
      <c r="F10" s="38">
        <v>1.0</v>
      </c>
      <c r="G10" s="38">
        <v>1.5</v>
      </c>
      <c r="H10" s="38">
        <v>1.0</v>
      </c>
      <c r="I10" s="38">
        <v>1.5</v>
      </c>
      <c r="J10" s="38">
        <v>1.0</v>
      </c>
      <c r="K10" s="38">
        <v>0.0</v>
      </c>
      <c r="L10" s="38"/>
      <c r="M10" s="39"/>
      <c r="N10" s="40"/>
      <c r="O10" s="40"/>
      <c r="P10" s="36"/>
      <c r="Q10" s="36"/>
      <c r="R10" s="36"/>
      <c r="S10" s="41"/>
      <c r="T10" s="41"/>
      <c r="U10" s="41"/>
      <c r="V10" s="41"/>
      <c r="W10" s="41">
        <v>8.5</v>
      </c>
      <c r="X10" s="42">
        <f>W10*30000</f>
        <v>255000</v>
      </c>
    </row>
    <row r="11" ht="30.75" customHeight="1">
      <c r="B11" s="28"/>
      <c r="C11" s="43" t="s">
        <v>30</v>
      </c>
      <c r="D11" s="45"/>
      <c r="E11" s="45"/>
      <c r="F11" s="38"/>
      <c r="G11" s="45"/>
      <c r="H11" s="38"/>
      <c r="I11" s="45"/>
      <c r="J11" s="38"/>
      <c r="K11" s="38" t="s">
        <v>64</v>
      </c>
      <c r="L11" s="39"/>
      <c r="M11" s="39"/>
      <c r="N11" s="40"/>
      <c r="O11" s="40"/>
      <c r="P11" s="36"/>
      <c r="Q11" s="36"/>
      <c r="R11" s="36"/>
      <c r="S11" s="36"/>
      <c r="T11" s="36"/>
      <c r="U11" s="36"/>
      <c r="V11" s="36"/>
      <c r="W11" s="36"/>
      <c r="X11" s="20"/>
    </row>
    <row r="12" ht="22.5" customHeight="1">
      <c r="B12" s="12">
        <v>2.0</v>
      </c>
      <c r="C12" s="30" t="s">
        <v>60</v>
      </c>
      <c r="D12" s="45">
        <v>45992.0</v>
      </c>
      <c r="E12" s="45">
        <v>45995.0</v>
      </c>
      <c r="F12" s="45">
        <v>45999.0</v>
      </c>
      <c r="G12" s="45">
        <v>46002.0</v>
      </c>
      <c r="H12" s="45">
        <v>46006.0</v>
      </c>
      <c r="I12" s="72">
        <v>46009.0</v>
      </c>
      <c r="J12" s="45">
        <v>46013.0</v>
      </c>
      <c r="K12" s="63">
        <v>46016.0</v>
      </c>
      <c r="L12" s="63">
        <v>46020.0</v>
      </c>
      <c r="M12" s="50"/>
      <c r="N12" s="45"/>
      <c r="O12" s="34"/>
      <c r="P12" s="36"/>
      <c r="Q12" s="36"/>
      <c r="R12" s="36"/>
      <c r="S12" s="36"/>
      <c r="T12" s="36"/>
      <c r="U12" s="36"/>
      <c r="V12" s="36"/>
      <c r="W12" s="36"/>
      <c r="X12" s="42"/>
      <c r="Y12" s="21"/>
      <c r="Z12" s="21"/>
      <c r="AA12" s="21"/>
      <c r="AB12" s="21"/>
      <c r="AC12" s="21"/>
      <c r="AD12" s="21"/>
      <c r="AE12" s="21"/>
      <c r="AF12" s="21"/>
    </row>
    <row r="13" ht="22.5" customHeight="1">
      <c r="B13" s="22"/>
      <c r="C13" s="37" t="s">
        <v>29</v>
      </c>
      <c r="D13" s="38">
        <v>2.0</v>
      </c>
      <c r="E13" s="38">
        <v>2.0</v>
      </c>
      <c r="F13" s="38">
        <v>2.0</v>
      </c>
      <c r="G13" s="38">
        <v>2.0</v>
      </c>
      <c r="H13" s="38">
        <v>2.0</v>
      </c>
      <c r="I13" s="38">
        <v>2.0</v>
      </c>
      <c r="J13" s="38">
        <v>2.0</v>
      </c>
      <c r="K13" s="38">
        <v>0.0</v>
      </c>
      <c r="L13" s="38">
        <v>0.0</v>
      </c>
      <c r="M13" s="38"/>
      <c r="N13" s="38"/>
      <c r="O13" s="40"/>
      <c r="P13" s="36"/>
      <c r="Q13" s="36"/>
      <c r="R13" s="36"/>
      <c r="S13" s="36"/>
      <c r="T13" s="36"/>
      <c r="U13" s="36"/>
      <c r="V13" s="36"/>
      <c r="W13" s="41">
        <v>14.0</v>
      </c>
      <c r="X13" s="42">
        <f>W13*30000</f>
        <v>420000</v>
      </c>
    </row>
    <row r="14" ht="29.25" customHeight="1">
      <c r="B14" s="28"/>
      <c r="C14" s="43" t="s">
        <v>30</v>
      </c>
      <c r="D14" s="45"/>
      <c r="E14" s="45"/>
      <c r="F14" s="45"/>
      <c r="G14" s="38"/>
      <c r="H14" s="38"/>
      <c r="I14" s="44"/>
      <c r="J14" s="44"/>
      <c r="K14" s="43" t="s">
        <v>65</v>
      </c>
      <c r="L14" s="38" t="s">
        <v>64</v>
      </c>
      <c r="M14" s="38"/>
      <c r="N14" s="40"/>
      <c r="O14" s="40"/>
      <c r="P14" s="36"/>
      <c r="Q14" s="36"/>
      <c r="R14" s="36"/>
      <c r="S14" s="36"/>
      <c r="T14" s="36"/>
      <c r="U14" s="36"/>
      <c r="V14" s="36"/>
      <c r="W14" s="36"/>
      <c r="X14" s="42"/>
    </row>
    <row r="15" ht="22.5" customHeight="1">
      <c r="B15" s="12">
        <v>3.0</v>
      </c>
      <c r="C15" s="30" t="s">
        <v>37</v>
      </c>
      <c r="D15" s="45">
        <v>45997.0</v>
      </c>
      <c r="E15" s="45">
        <v>46004.0</v>
      </c>
      <c r="F15" s="50"/>
      <c r="G15" s="50"/>
      <c r="H15" s="50"/>
      <c r="I15" s="50"/>
      <c r="J15" s="50"/>
      <c r="K15" s="50"/>
      <c r="L15" s="46"/>
      <c r="M15" s="46"/>
      <c r="N15" s="34"/>
      <c r="O15" s="34"/>
      <c r="P15" s="36"/>
      <c r="Q15" s="36"/>
      <c r="R15" s="36"/>
      <c r="S15" s="36"/>
      <c r="T15" s="36"/>
      <c r="U15" s="36"/>
      <c r="V15" s="36"/>
      <c r="W15" s="36"/>
      <c r="X15" s="20"/>
      <c r="Y15" s="21"/>
      <c r="Z15" s="21"/>
      <c r="AA15" s="21"/>
      <c r="AB15" s="21"/>
      <c r="AC15" s="21"/>
      <c r="AD15" s="21"/>
      <c r="AE15" s="21"/>
      <c r="AF15" s="21"/>
    </row>
    <row r="16" ht="22.5" customHeight="1">
      <c r="B16" s="22"/>
      <c r="C16" s="37" t="s">
        <v>29</v>
      </c>
      <c r="D16" s="38">
        <v>1.0</v>
      </c>
      <c r="E16" s="38">
        <v>1.0</v>
      </c>
      <c r="F16" s="38"/>
      <c r="G16" s="38"/>
      <c r="H16" s="38"/>
      <c r="I16" s="45"/>
      <c r="J16" s="45"/>
      <c r="K16" s="45"/>
      <c r="L16" s="39"/>
      <c r="M16" s="39"/>
      <c r="N16" s="40"/>
      <c r="O16" s="40"/>
      <c r="P16" s="49"/>
      <c r="Q16" s="49"/>
      <c r="R16" s="49"/>
      <c r="S16" s="36"/>
      <c r="T16" s="36"/>
      <c r="U16" s="36"/>
      <c r="V16" s="36"/>
      <c r="W16" s="41">
        <v>2.0</v>
      </c>
      <c r="X16" s="42">
        <f>W16*30000</f>
        <v>60000</v>
      </c>
    </row>
    <row r="17" ht="36.0" customHeight="1">
      <c r="B17" s="28"/>
      <c r="C17" s="43" t="s">
        <v>30</v>
      </c>
      <c r="D17" s="45"/>
      <c r="E17" s="45"/>
      <c r="F17" s="38"/>
      <c r="G17" s="44"/>
      <c r="H17" s="45"/>
      <c r="I17" s="45"/>
      <c r="J17" s="45"/>
      <c r="K17" s="45"/>
      <c r="L17" s="39"/>
      <c r="M17" s="39"/>
      <c r="N17" s="40"/>
      <c r="O17" s="40"/>
      <c r="P17" s="49"/>
      <c r="Q17" s="49"/>
      <c r="R17" s="49"/>
      <c r="S17" s="36"/>
      <c r="T17" s="36"/>
      <c r="U17" s="36"/>
      <c r="V17" s="36"/>
      <c r="W17" s="36"/>
      <c r="X17" s="42"/>
    </row>
    <row r="18" ht="22.5" customHeight="1">
      <c r="B18" s="12">
        <v>4.0</v>
      </c>
      <c r="C18" s="30" t="s">
        <v>39</v>
      </c>
      <c r="D18" s="45">
        <v>45992.0</v>
      </c>
      <c r="E18" s="45">
        <v>45994.0</v>
      </c>
      <c r="F18" s="45">
        <v>45999.0</v>
      </c>
      <c r="G18" s="45">
        <v>46006.0</v>
      </c>
      <c r="H18" s="45">
        <v>46008.0</v>
      </c>
      <c r="I18" s="45">
        <v>46013.0</v>
      </c>
      <c r="J18" s="63">
        <v>46020.0</v>
      </c>
      <c r="K18" s="50"/>
      <c r="L18" s="50"/>
      <c r="M18" s="50"/>
      <c r="N18" s="45"/>
      <c r="O18" s="34"/>
      <c r="P18" s="49"/>
      <c r="Q18" s="49"/>
      <c r="R18" s="49"/>
      <c r="S18" s="36"/>
      <c r="T18" s="36"/>
      <c r="U18" s="36"/>
      <c r="V18" s="36"/>
      <c r="W18" s="36"/>
      <c r="X18" s="20"/>
      <c r="Y18" s="21"/>
      <c r="Z18" s="21"/>
      <c r="AA18" s="21"/>
      <c r="AB18" s="21"/>
      <c r="AC18" s="21"/>
      <c r="AD18" s="21"/>
      <c r="AE18" s="21"/>
      <c r="AF18" s="21"/>
    </row>
    <row r="19" ht="22.5" customHeight="1">
      <c r="B19" s="22"/>
      <c r="C19" s="43" t="s">
        <v>29</v>
      </c>
      <c r="D19" s="38">
        <v>1.0</v>
      </c>
      <c r="E19" s="38">
        <v>1.0</v>
      </c>
      <c r="F19" s="38">
        <v>1.0</v>
      </c>
      <c r="G19" s="38">
        <v>1.0</v>
      </c>
      <c r="H19" s="38">
        <v>1.0</v>
      </c>
      <c r="I19" s="38">
        <v>1.0</v>
      </c>
      <c r="J19" s="51">
        <v>0.0</v>
      </c>
      <c r="K19" s="38"/>
      <c r="L19" s="39"/>
      <c r="M19" s="39"/>
      <c r="N19" s="40"/>
      <c r="O19" s="40"/>
      <c r="P19" s="49"/>
      <c r="Q19" s="49"/>
      <c r="R19" s="49"/>
      <c r="S19" s="36"/>
      <c r="T19" s="36"/>
      <c r="U19" s="36"/>
      <c r="V19" s="36"/>
      <c r="W19" s="41">
        <v>6.0</v>
      </c>
      <c r="X19" s="42">
        <f>W19*30000</f>
        <v>180000</v>
      </c>
    </row>
    <row r="20" ht="30.75" customHeight="1">
      <c r="B20" s="28"/>
      <c r="C20" s="43" t="s">
        <v>30</v>
      </c>
      <c r="D20" s="44"/>
      <c r="E20" s="44"/>
      <c r="F20" s="45"/>
      <c r="G20" s="38"/>
      <c r="H20" s="45"/>
      <c r="I20" s="38"/>
      <c r="J20" s="38" t="s">
        <v>64</v>
      </c>
      <c r="K20" s="38"/>
      <c r="L20" s="39"/>
      <c r="M20" s="39"/>
      <c r="N20" s="40"/>
      <c r="O20" s="40"/>
      <c r="P20" s="49"/>
      <c r="Q20" s="49"/>
      <c r="R20" s="49"/>
      <c r="S20" s="36"/>
      <c r="T20" s="36"/>
      <c r="U20" s="36"/>
      <c r="V20" s="36"/>
      <c r="W20" s="36"/>
      <c r="X20" s="42"/>
    </row>
    <row r="21" ht="22.5" customHeight="1">
      <c r="B21" s="12">
        <v>5.0</v>
      </c>
      <c r="C21" s="30" t="s">
        <v>40</v>
      </c>
      <c r="D21" s="45">
        <v>45993.0</v>
      </c>
      <c r="E21" s="45">
        <v>46000.0</v>
      </c>
      <c r="F21" s="45">
        <v>46002.0</v>
      </c>
      <c r="G21" s="45">
        <v>46009.0</v>
      </c>
      <c r="H21" s="63">
        <v>46014.0</v>
      </c>
      <c r="I21" s="63">
        <v>46016.0</v>
      </c>
      <c r="J21" s="63">
        <v>46021.0</v>
      </c>
      <c r="K21" s="50"/>
      <c r="L21" s="45"/>
      <c r="M21" s="45"/>
      <c r="N21" s="45"/>
      <c r="O21" s="34"/>
      <c r="P21" s="36"/>
      <c r="Q21" s="36"/>
      <c r="R21" s="36"/>
      <c r="S21" s="36"/>
      <c r="T21" s="36"/>
      <c r="U21" s="36"/>
      <c r="V21" s="36"/>
      <c r="W21" s="36"/>
      <c r="X21" s="42"/>
      <c r="Y21" s="21"/>
      <c r="Z21" s="21"/>
      <c r="AA21" s="21"/>
      <c r="AB21" s="21"/>
      <c r="AC21" s="21"/>
      <c r="AD21" s="21"/>
      <c r="AE21" s="21"/>
      <c r="AF21" s="21"/>
    </row>
    <row r="22" ht="22.5" customHeight="1">
      <c r="B22" s="22"/>
      <c r="C22" s="43" t="s">
        <v>29</v>
      </c>
      <c r="D22" s="38">
        <v>1.0</v>
      </c>
      <c r="E22" s="38">
        <v>1.0</v>
      </c>
      <c r="F22" s="38">
        <v>1.0</v>
      </c>
      <c r="G22" s="38">
        <v>1.0</v>
      </c>
      <c r="H22" s="38">
        <v>0.0</v>
      </c>
      <c r="I22" s="38">
        <v>0.0</v>
      </c>
      <c r="J22" s="51">
        <v>0.0</v>
      </c>
      <c r="K22" s="38"/>
      <c r="L22" s="39"/>
      <c r="M22" s="39"/>
      <c r="N22" s="40"/>
      <c r="O22" s="40"/>
      <c r="P22" s="36"/>
      <c r="Q22" s="36"/>
      <c r="R22" s="36"/>
      <c r="S22" s="36"/>
      <c r="T22" s="36"/>
      <c r="U22" s="36"/>
      <c r="V22" s="36"/>
      <c r="W22" s="41">
        <v>4.0</v>
      </c>
      <c r="X22" s="42">
        <f>W22*30000</f>
        <v>120000</v>
      </c>
    </row>
    <row r="23" ht="30.0" customHeight="1">
      <c r="B23" s="28"/>
      <c r="C23" s="43" t="s">
        <v>30</v>
      </c>
      <c r="D23" s="44"/>
      <c r="E23" s="38"/>
      <c r="F23" s="45"/>
      <c r="G23" s="45"/>
      <c r="H23" s="52" t="s">
        <v>35</v>
      </c>
      <c r="I23" s="38" t="s">
        <v>36</v>
      </c>
      <c r="J23" s="38" t="s">
        <v>64</v>
      </c>
      <c r="K23" s="53"/>
      <c r="L23" s="39"/>
      <c r="M23" s="39"/>
      <c r="N23" s="40"/>
      <c r="O23" s="40"/>
      <c r="P23" s="36"/>
      <c r="Q23" s="36"/>
      <c r="R23" s="36"/>
      <c r="S23" s="36"/>
      <c r="T23" s="36"/>
      <c r="U23" s="36"/>
      <c r="V23" s="36"/>
      <c r="W23" s="36"/>
      <c r="X23" s="42"/>
    </row>
    <row r="24" ht="22.5" customHeight="1">
      <c r="B24" s="12">
        <v>6.0</v>
      </c>
      <c r="C24" s="54" t="s">
        <v>66</v>
      </c>
      <c r="D24" s="45">
        <v>45993.0</v>
      </c>
      <c r="E24" s="45">
        <v>45994.0</v>
      </c>
      <c r="F24" s="72">
        <v>45996.0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45"/>
      <c r="S24" s="41"/>
      <c r="T24" s="41"/>
      <c r="U24" s="41"/>
      <c r="V24" s="41"/>
      <c r="W24" s="41"/>
      <c r="X24" s="58"/>
      <c r="Y24" s="59"/>
      <c r="Z24" s="59"/>
      <c r="AA24" s="59"/>
      <c r="AB24" s="59"/>
      <c r="AC24" s="59"/>
      <c r="AD24" s="59"/>
      <c r="AE24" s="59"/>
      <c r="AF24" s="59"/>
    </row>
    <row r="25" ht="22.5" customHeight="1">
      <c r="B25" s="22"/>
      <c r="C25" s="37" t="s">
        <v>29</v>
      </c>
      <c r="D25" s="43">
        <v>3.0</v>
      </c>
      <c r="E25" s="43">
        <v>3.0</v>
      </c>
      <c r="F25" s="52">
        <v>3.0</v>
      </c>
      <c r="G25" s="38"/>
      <c r="H25" s="38"/>
      <c r="I25" s="43"/>
      <c r="J25" s="43"/>
      <c r="K25" s="38"/>
      <c r="L25" s="38"/>
      <c r="M25" s="43"/>
      <c r="N25" s="43"/>
      <c r="O25" s="43"/>
      <c r="P25" s="43"/>
      <c r="Q25" s="52"/>
      <c r="R25" s="36"/>
      <c r="S25" s="41"/>
      <c r="T25" s="41"/>
      <c r="U25" s="41"/>
      <c r="V25" s="41"/>
      <c r="W25" s="41">
        <v>9.0</v>
      </c>
      <c r="X25" s="42">
        <f>W25*55000</f>
        <v>495000</v>
      </c>
      <c r="Y25" s="59"/>
      <c r="Z25" s="60"/>
      <c r="AA25" s="59"/>
      <c r="AB25" s="59"/>
      <c r="AC25" s="59"/>
      <c r="AD25" s="59"/>
      <c r="AE25" s="59"/>
      <c r="AF25" s="59"/>
    </row>
    <row r="26" ht="27.0" customHeight="1">
      <c r="B26" s="28"/>
      <c r="C26" s="37" t="s">
        <v>30</v>
      </c>
      <c r="D26" s="38"/>
      <c r="E26" s="38"/>
      <c r="F26" s="38" t="s">
        <v>67</v>
      </c>
      <c r="G26" s="38"/>
      <c r="H26" s="38"/>
      <c r="I26" s="55"/>
      <c r="J26" s="55"/>
      <c r="K26" s="38"/>
      <c r="L26" s="38"/>
      <c r="M26" s="55"/>
      <c r="N26" s="38"/>
      <c r="O26" s="38"/>
      <c r="P26" s="55"/>
      <c r="Q26" s="38"/>
      <c r="R26" s="36"/>
      <c r="S26" s="36"/>
      <c r="T26" s="36"/>
      <c r="U26" s="36"/>
      <c r="V26" s="36"/>
      <c r="W26" s="36"/>
      <c r="X26" s="58"/>
      <c r="Y26" s="61"/>
      <c r="Z26" s="61"/>
      <c r="AA26" s="61"/>
      <c r="AB26" s="61"/>
      <c r="AC26" s="61"/>
      <c r="AD26" s="61"/>
      <c r="AE26" s="61"/>
      <c r="AF26" s="61"/>
    </row>
    <row r="27" ht="20.25" customHeight="1">
      <c r="B27" s="12">
        <v>7.0</v>
      </c>
      <c r="C27" s="54" t="s">
        <v>41</v>
      </c>
      <c r="D27" s="45">
        <v>46000.0</v>
      </c>
      <c r="E27" s="45">
        <v>46001.0</v>
      </c>
      <c r="F27" s="45">
        <v>46003.0</v>
      </c>
      <c r="G27" s="45">
        <v>46007.0</v>
      </c>
      <c r="H27" s="45">
        <v>46008.0</v>
      </c>
      <c r="I27" s="63">
        <v>46010.0</v>
      </c>
      <c r="J27" s="45">
        <v>46014.0</v>
      </c>
      <c r="K27" s="45">
        <v>46015.0</v>
      </c>
      <c r="L27" s="45">
        <v>46017.0</v>
      </c>
      <c r="M27" s="63">
        <v>46021.0</v>
      </c>
      <c r="N27" s="63">
        <v>46022.0</v>
      </c>
      <c r="O27" s="55"/>
      <c r="P27" s="55"/>
      <c r="Q27" s="44"/>
      <c r="R27" s="36"/>
      <c r="S27" s="36"/>
      <c r="T27" s="36"/>
      <c r="U27" s="36"/>
      <c r="V27" s="36"/>
      <c r="W27" s="36"/>
      <c r="X27" s="58"/>
      <c r="Y27" s="61"/>
      <c r="Z27" s="61"/>
      <c r="AA27" s="61"/>
      <c r="AB27" s="61"/>
      <c r="AC27" s="61"/>
      <c r="AD27" s="61"/>
      <c r="AE27" s="61"/>
      <c r="AF27" s="61"/>
    </row>
    <row r="28" ht="20.25" customHeight="1">
      <c r="B28" s="22"/>
      <c r="C28" s="37" t="s">
        <v>29</v>
      </c>
      <c r="D28" s="52">
        <v>2.0</v>
      </c>
      <c r="E28" s="52">
        <v>2.0</v>
      </c>
      <c r="F28" s="52">
        <v>2.0</v>
      </c>
      <c r="G28" s="52">
        <v>2.5</v>
      </c>
      <c r="H28" s="52">
        <v>2.0</v>
      </c>
      <c r="I28" s="51">
        <v>0.0</v>
      </c>
      <c r="J28" s="54">
        <v>2.0</v>
      </c>
      <c r="K28" s="54">
        <v>2.0</v>
      </c>
      <c r="L28" s="54">
        <v>2.0</v>
      </c>
      <c r="M28" s="51">
        <v>0.0</v>
      </c>
      <c r="N28" s="51">
        <v>0.0</v>
      </c>
      <c r="O28" s="55"/>
      <c r="P28" s="55"/>
      <c r="Q28" s="44"/>
      <c r="R28" s="36"/>
      <c r="S28" s="36"/>
      <c r="T28" s="36"/>
      <c r="U28" s="36"/>
      <c r="V28" s="36"/>
      <c r="W28" s="41">
        <v>16.5</v>
      </c>
      <c r="X28" s="42">
        <f>W28*45000</f>
        <v>742500</v>
      </c>
      <c r="Y28" s="61"/>
      <c r="Z28" s="61"/>
      <c r="AA28" s="61"/>
      <c r="AB28" s="61"/>
      <c r="AC28" s="61"/>
      <c r="AD28" s="61"/>
      <c r="AE28" s="61"/>
      <c r="AF28" s="61"/>
    </row>
    <row r="29" ht="28.5" customHeight="1">
      <c r="B29" s="28"/>
      <c r="C29" s="37" t="s">
        <v>30</v>
      </c>
      <c r="D29" s="52"/>
      <c r="E29" s="54"/>
      <c r="F29" s="55"/>
      <c r="G29" s="55"/>
      <c r="H29" s="55"/>
      <c r="I29" s="52" t="s">
        <v>68</v>
      </c>
      <c r="J29" s="55"/>
      <c r="K29" s="55"/>
      <c r="L29" s="55"/>
      <c r="M29" s="38" t="s">
        <v>64</v>
      </c>
      <c r="N29" s="38" t="s">
        <v>64</v>
      </c>
      <c r="O29" s="55"/>
      <c r="P29" s="55"/>
      <c r="Q29" s="44"/>
      <c r="R29" s="36"/>
      <c r="S29" s="36"/>
      <c r="T29" s="36"/>
      <c r="U29" s="36"/>
      <c r="V29" s="36"/>
      <c r="W29" s="36"/>
      <c r="X29" s="58"/>
      <c r="Y29" s="61"/>
      <c r="Z29" s="61"/>
      <c r="AA29" s="61"/>
      <c r="AB29" s="61"/>
      <c r="AC29" s="61"/>
      <c r="AD29" s="61"/>
      <c r="AE29" s="61"/>
      <c r="AF29" s="61"/>
    </row>
    <row r="30" ht="22.5" customHeight="1">
      <c r="B30" s="12">
        <v>8.0</v>
      </c>
      <c r="C30" s="30" t="s">
        <v>55</v>
      </c>
      <c r="D30" s="45">
        <v>45992.0</v>
      </c>
      <c r="E30" s="45">
        <v>45996.0</v>
      </c>
      <c r="F30" s="45">
        <v>46003.0</v>
      </c>
      <c r="G30" s="45">
        <v>46013.0</v>
      </c>
      <c r="H30" s="63">
        <v>46020.0</v>
      </c>
      <c r="I30" s="50"/>
      <c r="J30" s="50"/>
      <c r="K30" s="45"/>
      <c r="L30" s="50"/>
      <c r="M30" s="45"/>
      <c r="N30" s="45"/>
      <c r="O30" s="45"/>
      <c r="P30" s="45"/>
      <c r="Q30" s="36"/>
      <c r="R30" s="36"/>
      <c r="S30" s="36"/>
      <c r="T30" s="36"/>
      <c r="U30" s="36"/>
      <c r="V30" s="36"/>
      <c r="W30" s="36"/>
      <c r="X30" s="42"/>
      <c r="Y30" s="21"/>
      <c r="Z30" s="21"/>
      <c r="AA30" s="21"/>
      <c r="AB30" s="21"/>
      <c r="AC30" s="21"/>
      <c r="AD30" s="21"/>
      <c r="AE30" s="21"/>
      <c r="AF30" s="21"/>
    </row>
    <row r="31" ht="22.5" customHeight="1">
      <c r="B31" s="22"/>
      <c r="C31" s="37" t="s">
        <v>29</v>
      </c>
      <c r="D31" s="38">
        <v>2.0</v>
      </c>
      <c r="E31" s="38">
        <v>2.0</v>
      </c>
      <c r="F31" s="38">
        <v>2.0</v>
      </c>
      <c r="G31" s="38">
        <v>2.0</v>
      </c>
      <c r="H31" s="51">
        <v>0.0</v>
      </c>
      <c r="I31" s="38"/>
      <c r="J31" s="38"/>
      <c r="K31" s="43"/>
      <c r="L31" s="64"/>
      <c r="M31" s="64"/>
      <c r="N31" s="34"/>
      <c r="O31" s="34"/>
      <c r="P31" s="36"/>
      <c r="Q31" s="36"/>
      <c r="R31" s="36"/>
      <c r="S31" s="36"/>
      <c r="T31" s="36"/>
      <c r="U31" s="36"/>
      <c r="V31" s="36"/>
      <c r="W31" s="41">
        <v>8.0</v>
      </c>
      <c r="X31" s="42">
        <f>W31*30000</f>
        <v>240000</v>
      </c>
      <c r="Y31" s="21"/>
      <c r="Z31" s="21"/>
      <c r="AA31" s="21"/>
      <c r="AB31" s="21"/>
      <c r="AC31" s="21"/>
      <c r="AD31" s="21"/>
      <c r="AE31" s="21"/>
      <c r="AF31" s="21"/>
    </row>
    <row r="32" ht="29.25" customHeight="1">
      <c r="B32" s="28"/>
      <c r="C32" s="37" t="s">
        <v>30</v>
      </c>
      <c r="D32" s="44"/>
      <c r="E32" s="38"/>
      <c r="F32" s="44"/>
      <c r="G32" s="44"/>
      <c r="H32" s="38" t="s">
        <v>64</v>
      </c>
      <c r="I32" s="38"/>
      <c r="J32" s="38"/>
      <c r="K32" s="39"/>
      <c r="L32" s="39"/>
      <c r="M32" s="39"/>
      <c r="N32" s="40"/>
      <c r="O32" s="40"/>
      <c r="P32" s="36"/>
      <c r="Q32" s="36"/>
      <c r="R32" s="36"/>
      <c r="S32" s="36"/>
      <c r="T32" s="36"/>
      <c r="U32" s="36"/>
      <c r="V32" s="36"/>
      <c r="W32" s="36"/>
      <c r="X32" s="42"/>
    </row>
    <row r="33" ht="21.75" customHeight="1">
      <c r="A33" s="1"/>
      <c r="B33" s="12">
        <v>9.0</v>
      </c>
      <c r="C33" s="54" t="s">
        <v>43</v>
      </c>
      <c r="D33" s="45">
        <v>45995.0</v>
      </c>
      <c r="E33" s="45">
        <v>46002.0</v>
      </c>
      <c r="F33" s="45">
        <v>46009.0</v>
      </c>
      <c r="G33" s="63">
        <v>46016.0</v>
      </c>
      <c r="H33" s="50"/>
      <c r="I33" s="44"/>
      <c r="J33" s="39"/>
      <c r="K33" s="39"/>
      <c r="L33" s="39"/>
      <c r="M33" s="39"/>
      <c r="N33" s="40"/>
      <c r="O33" s="40"/>
      <c r="P33" s="36"/>
      <c r="Q33" s="36"/>
      <c r="R33" s="36"/>
      <c r="S33" s="36"/>
      <c r="T33" s="36"/>
      <c r="U33" s="36"/>
      <c r="V33" s="36"/>
      <c r="W33" s="36"/>
      <c r="X33" s="42"/>
    </row>
    <row r="34" ht="21.75" customHeight="1">
      <c r="A34" s="1"/>
      <c r="B34" s="22"/>
      <c r="C34" s="37" t="s">
        <v>29</v>
      </c>
      <c r="D34" s="38">
        <v>1.0</v>
      </c>
      <c r="E34" s="38">
        <v>1.0</v>
      </c>
      <c r="F34" s="38">
        <v>1.0</v>
      </c>
      <c r="G34" s="38">
        <v>0.0</v>
      </c>
      <c r="H34" s="44"/>
      <c r="I34" s="44"/>
      <c r="J34" s="39"/>
      <c r="K34" s="39"/>
      <c r="L34" s="39"/>
      <c r="M34" s="39"/>
      <c r="N34" s="40"/>
      <c r="O34" s="40"/>
      <c r="P34" s="36"/>
      <c r="Q34" s="36"/>
      <c r="R34" s="36"/>
      <c r="S34" s="36"/>
      <c r="T34" s="36"/>
      <c r="U34" s="36"/>
      <c r="V34" s="36"/>
      <c r="W34" s="41">
        <v>3.0</v>
      </c>
      <c r="X34" s="42">
        <f>W34*30000</f>
        <v>90000</v>
      </c>
    </row>
    <row r="35" ht="29.25" customHeight="1">
      <c r="A35" s="1"/>
      <c r="B35" s="28"/>
      <c r="C35" s="37" t="s">
        <v>30</v>
      </c>
      <c r="D35" s="44"/>
      <c r="E35" s="44"/>
      <c r="F35" s="44"/>
      <c r="G35" s="38" t="s">
        <v>69</v>
      </c>
      <c r="H35" s="53"/>
      <c r="I35" s="44"/>
      <c r="J35" s="39"/>
      <c r="K35" s="39"/>
      <c r="L35" s="39"/>
      <c r="M35" s="39"/>
      <c r="N35" s="40"/>
      <c r="O35" s="40"/>
      <c r="P35" s="36"/>
      <c r="Q35" s="36"/>
      <c r="R35" s="36"/>
      <c r="S35" s="36"/>
      <c r="T35" s="36"/>
      <c r="U35" s="36"/>
      <c r="V35" s="36"/>
      <c r="W35" s="36"/>
      <c r="X35" s="42"/>
    </row>
    <row r="36" ht="21.75" customHeight="1">
      <c r="A36" s="1"/>
      <c r="B36" s="12">
        <v>10.0</v>
      </c>
      <c r="C36" s="54" t="s">
        <v>62</v>
      </c>
      <c r="D36" s="45">
        <v>46014.0</v>
      </c>
      <c r="E36" s="63">
        <v>46015.0</v>
      </c>
      <c r="F36" s="45">
        <v>46017.0</v>
      </c>
      <c r="G36" s="63">
        <v>46022.0</v>
      </c>
      <c r="H36" s="50"/>
      <c r="I36" s="44"/>
      <c r="J36" s="39"/>
      <c r="K36" s="39"/>
      <c r="L36" s="39"/>
      <c r="M36" s="39"/>
      <c r="N36" s="40"/>
      <c r="O36" s="40"/>
      <c r="P36" s="36"/>
      <c r="Q36" s="36"/>
      <c r="R36" s="36"/>
      <c r="S36" s="36"/>
      <c r="T36" s="36"/>
      <c r="U36" s="36"/>
      <c r="V36" s="36"/>
      <c r="W36" s="36"/>
      <c r="X36" s="42"/>
    </row>
    <row r="37" ht="21.75" customHeight="1">
      <c r="A37" s="1"/>
      <c r="B37" s="22"/>
      <c r="C37" s="37" t="s">
        <v>29</v>
      </c>
      <c r="D37" s="38">
        <v>2.0</v>
      </c>
      <c r="E37" s="51">
        <v>0.0</v>
      </c>
      <c r="F37" s="38">
        <v>4.0</v>
      </c>
      <c r="G37" s="51">
        <v>0.0</v>
      </c>
      <c r="H37" s="44"/>
      <c r="I37" s="44"/>
      <c r="J37" s="39"/>
      <c r="K37" s="39"/>
      <c r="L37" s="39"/>
      <c r="M37" s="39"/>
      <c r="N37" s="40"/>
      <c r="O37" s="40"/>
      <c r="P37" s="36"/>
      <c r="Q37" s="36"/>
      <c r="R37" s="36"/>
      <c r="S37" s="36"/>
      <c r="T37" s="36"/>
      <c r="U37" s="36"/>
      <c r="V37" s="36"/>
      <c r="W37" s="41">
        <v>6.0</v>
      </c>
      <c r="X37" s="42">
        <f>W37*45000</f>
        <v>270000</v>
      </c>
    </row>
    <row r="38" ht="32.25" customHeight="1">
      <c r="A38" s="1"/>
      <c r="B38" s="28"/>
      <c r="C38" s="37" t="s">
        <v>30</v>
      </c>
      <c r="D38" s="44"/>
      <c r="E38" s="52" t="s">
        <v>68</v>
      </c>
      <c r="F38" s="44"/>
      <c r="G38" s="38" t="s">
        <v>64</v>
      </c>
      <c r="H38" s="44"/>
      <c r="I38" s="44"/>
      <c r="J38" s="39"/>
      <c r="K38" s="39"/>
      <c r="L38" s="39"/>
      <c r="M38" s="39"/>
      <c r="N38" s="40"/>
      <c r="O38" s="40"/>
      <c r="P38" s="36"/>
      <c r="Q38" s="36"/>
      <c r="R38" s="36"/>
      <c r="S38" s="36"/>
      <c r="T38" s="36"/>
      <c r="U38" s="36"/>
      <c r="V38" s="36"/>
      <c r="W38" s="36"/>
      <c r="X38" s="42"/>
    </row>
    <row r="39" ht="27.0" customHeight="1">
      <c r="A39" s="1"/>
      <c r="B39" s="12">
        <v>11.0</v>
      </c>
      <c r="C39" s="54" t="s">
        <v>70</v>
      </c>
      <c r="D39" s="45">
        <v>46014.0</v>
      </c>
      <c r="E39" s="50"/>
      <c r="F39" s="50"/>
      <c r="G39" s="50"/>
      <c r="H39" s="44"/>
      <c r="I39" s="44"/>
      <c r="J39" s="39"/>
      <c r="K39" s="39"/>
      <c r="L39" s="39"/>
      <c r="M39" s="39"/>
      <c r="N39" s="40"/>
      <c r="O39" s="40"/>
      <c r="P39" s="36"/>
      <c r="Q39" s="36"/>
      <c r="R39" s="36"/>
      <c r="S39" s="36"/>
      <c r="T39" s="36"/>
      <c r="U39" s="36"/>
      <c r="V39" s="36"/>
      <c r="W39" s="36"/>
      <c r="X39" s="42"/>
    </row>
    <row r="40" ht="27.0" customHeight="1">
      <c r="A40" s="1"/>
      <c r="B40" s="22"/>
      <c r="C40" s="37" t="s">
        <v>29</v>
      </c>
      <c r="D40" s="38">
        <v>2.0</v>
      </c>
      <c r="E40" s="50"/>
      <c r="F40" s="50"/>
      <c r="G40" s="50"/>
      <c r="H40" s="44"/>
      <c r="I40" s="44"/>
      <c r="J40" s="39"/>
      <c r="K40" s="39"/>
      <c r="L40" s="39"/>
      <c r="M40" s="39"/>
      <c r="N40" s="40"/>
      <c r="O40" s="40"/>
      <c r="P40" s="36"/>
      <c r="Q40" s="36"/>
      <c r="R40" s="36"/>
      <c r="S40" s="36"/>
      <c r="T40" s="36"/>
      <c r="U40" s="36"/>
      <c r="V40" s="36"/>
      <c r="W40" s="41">
        <v>2.0</v>
      </c>
      <c r="X40" s="42">
        <f>W40*30000</f>
        <v>60000</v>
      </c>
    </row>
    <row r="41" ht="27.0" customHeight="1">
      <c r="A41" s="1"/>
      <c r="B41" s="28"/>
      <c r="C41" s="37" t="s">
        <v>30</v>
      </c>
      <c r="D41" s="45"/>
      <c r="E41" s="50"/>
      <c r="F41" s="50"/>
      <c r="G41" s="50"/>
      <c r="H41" s="44"/>
      <c r="I41" s="44"/>
      <c r="J41" s="39"/>
      <c r="K41" s="39"/>
      <c r="L41" s="39"/>
      <c r="M41" s="39"/>
      <c r="N41" s="40"/>
      <c r="O41" s="40"/>
      <c r="P41" s="36"/>
      <c r="Q41" s="36"/>
      <c r="R41" s="36"/>
      <c r="S41" s="36"/>
      <c r="T41" s="36"/>
      <c r="U41" s="36"/>
      <c r="V41" s="36"/>
      <c r="W41" s="36"/>
      <c r="X41" s="42"/>
    </row>
    <row r="42" ht="27.0" customHeight="1">
      <c r="A42" s="1"/>
      <c r="B42" s="12">
        <v>12.0</v>
      </c>
      <c r="C42" s="54" t="s">
        <v>71</v>
      </c>
      <c r="D42" s="63">
        <v>46022.0</v>
      </c>
      <c r="E42" s="50"/>
      <c r="F42" s="50"/>
      <c r="G42" s="50"/>
      <c r="H42" s="44"/>
      <c r="I42" s="44"/>
      <c r="J42" s="39"/>
      <c r="K42" s="39"/>
      <c r="L42" s="39"/>
      <c r="M42" s="39"/>
      <c r="N42" s="40"/>
      <c r="O42" s="40"/>
      <c r="P42" s="36"/>
      <c r="Q42" s="36"/>
      <c r="R42" s="36"/>
      <c r="S42" s="36"/>
      <c r="T42" s="36"/>
      <c r="U42" s="36"/>
      <c r="V42" s="36"/>
      <c r="W42" s="36"/>
      <c r="X42" s="42"/>
    </row>
    <row r="43" ht="27.0" customHeight="1">
      <c r="A43" s="1"/>
      <c r="B43" s="22"/>
      <c r="C43" s="37" t="s">
        <v>29</v>
      </c>
      <c r="D43" s="51">
        <v>0.0</v>
      </c>
      <c r="E43" s="50"/>
      <c r="F43" s="50"/>
      <c r="G43" s="50"/>
      <c r="H43" s="44"/>
      <c r="I43" s="44"/>
      <c r="J43" s="39"/>
      <c r="K43" s="39"/>
      <c r="L43" s="39"/>
      <c r="M43" s="39"/>
      <c r="N43" s="40"/>
      <c r="O43" s="40"/>
      <c r="P43" s="36"/>
      <c r="Q43" s="36"/>
      <c r="R43" s="36"/>
      <c r="S43" s="36"/>
      <c r="T43" s="36"/>
      <c r="U43" s="36"/>
      <c r="V43" s="36"/>
      <c r="W43" s="36"/>
      <c r="X43" s="42"/>
    </row>
    <row r="44" ht="27.0" customHeight="1">
      <c r="A44" s="1"/>
      <c r="B44" s="28"/>
      <c r="C44" s="37" t="s">
        <v>30</v>
      </c>
      <c r="D44" s="38" t="s">
        <v>69</v>
      </c>
      <c r="E44" s="50"/>
      <c r="F44" s="50"/>
      <c r="G44" s="50"/>
      <c r="H44" s="44"/>
      <c r="I44" s="44"/>
      <c r="J44" s="39"/>
      <c r="K44" s="39"/>
      <c r="L44" s="39"/>
      <c r="M44" s="39"/>
      <c r="N44" s="40"/>
      <c r="O44" s="40"/>
      <c r="P44" s="36"/>
      <c r="Q44" s="36"/>
      <c r="R44" s="36"/>
      <c r="S44" s="36"/>
      <c r="T44" s="36"/>
      <c r="U44" s="36"/>
      <c r="V44" s="36"/>
      <c r="W44" s="36"/>
      <c r="X44" s="42"/>
    </row>
    <row r="45" ht="27.0" customHeight="1">
      <c r="A45" s="1"/>
      <c r="B45" s="12">
        <v>13.0</v>
      </c>
      <c r="C45" s="54" t="s">
        <v>72</v>
      </c>
      <c r="D45" s="45">
        <v>46015.0</v>
      </c>
      <c r="E45" s="45">
        <v>46017.0</v>
      </c>
      <c r="F45" s="50"/>
      <c r="G45" s="50"/>
      <c r="H45" s="44"/>
      <c r="I45" s="44"/>
      <c r="J45" s="39"/>
      <c r="K45" s="39"/>
      <c r="L45" s="39"/>
      <c r="M45" s="39"/>
      <c r="N45" s="40"/>
      <c r="O45" s="40"/>
      <c r="P45" s="36"/>
      <c r="Q45" s="36"/>
      <c r="R45" s="36"/>
      <c r="S45" s="36"/>
      <c r="T45" s="36"/>
      <c r="U45" s="36"/>
      <c r="V45" s="36"/>
      <c r="W45" s="36"/>
      <c r="X45" s="42"/>
    </row>
    <row r="46" ht="32.25" customHeight="1">
      <c r="A46" s="1"/>
      <c r="B46" s="22"/>
      <c r="C46" s="37" t="s">
        <v>29</v>
      </c>
      <c r="D46" s="38">
        <v>1.5</v>
      </c>
      <c r="E46" s="38">
        <v>1.5</v>
      </c>
      <c r="F46" s="44"/>
      <c r="G46" s="44"/>
      <c r="H46" s="44"/>
      <c r="I46" s="44"/>
      <c r="J46" s="39"/>
      <c r="K46" s="39"/>
      <c r="L46" s="39"/>
      <c r="M46" s="39"/>
      <c r="N46" s="40"/>
      <c r="O46" s="40"/>
      <c r="P46" s="36"/>
      <c r="Q46" s="36"/>
      <c r="R46" s="36"/>
      <c r="S46" s="36"/>
      <c r="T46" s="36"/>
      <c r="U46" s="36"/>
      <c r="V46" s="36"/>
      <c r="W46" s="41">
        <v>3.0</v>
      </c>
      <c r="X46" s="42">
        <f>W46*30000</f>
        <v>90000</v>
      </c>
    </row>
    <row r="47" ht="32.25" customHeight="1">
      <c r="A47" s="7"/>
      <c r="B47" s="28"/>
      <c r="C47" s="37" t="s">
        <v>30</v>
      </c>
      <c r="D47" s="66"/>
      <c r="E47" s="44"/>
      <c r="F47" s="44"/>
      <c r="G47" s="44"/>
      <c r="H47" s="44"/>
      <c r="I47" s="44"/>
      <c r="J47" s="39"/>
      <c r="K47" s="39"/>
      <c r="L47" s="39"/>
      <c r="M47" s="39"/>
      <c r="N47" s="40"/>
      <c r="O47" s="40"/>
      <c r="P47" s="36"/>
      <c r="Q47" s="36"/>
      <c r="R47" s="36"/>
      <c r="S47" s="36"/>
      <c r="T47" s="36"/>
      <c r="U47" s="36"/>
      <c r="V47" s="36"/>
      <c r="W47" s="36"/>
      <c r="X47" s="42"/>
    </row>
    <row r="48">
      <c r="A48" s="1"/>
      <c r="B48" s="30" t="s">
        <v>46</v>
      </c>
      <c r="C48" s="6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  <c r="T48" s="39"/>
      <c r="U48" s="39"/>
      <c r="V48" s="39"/>
      <c r="W48" s="39"/>
      <c r="X48" s="73">
        <f>SUM(X10:X47)</f>
        <v>3022500</v>
      </c>
    </row>
    <row r="49">
      <c r="A49" s="1"/>
      <c r="B49" s="30" t="s">
        <v>47</v>
      </c>
      <c r="C49" s="6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  <c r="T49" s="39"/>
      <c r="U49" s="39"/>
      <c r="V49" s="39"/>
      <c r="W49" s="39"/>
      <c r="X49" s="68">
        <f>X48-(X48*0.033)</f>
        <v>2922757.5</v>
      </c>
    </row>
    <row r="50">
      <c r="B50" s="40"/>
      <c r="C50" s="48"/>
      <c r="D50" s="40"/>
      <c r="E50" s="40"/>
      <c r="F50" s="40"/>
      <c r="G50" s="40"/>
      <c r="H50" s="48"/>
      <c r="I50" s="48"/>
      <c r="J50" s="48"/>
      <c r="K50" s="48"/>
      <c r="L50" s="40"/>
      <c r="M50" s="40"/>
      <c r="N50" s="40"/>
      <c r="O50" s="40"/>
      <c r="P50" s="69"/>
      <c r="Q50" s="69"/>
      <c r="R50" s="69"/>
      <c r="S50" s="69"/>
      <c r="T50" s="69"/>
      <c r="U50" s="69"/>
      <c r="V50" s="69"/>
      <c r="W50" s="69"/>
      <c r="X50" s="40"/>
    </row>
    <row r="51">
      <c r="C51" s="61"/>
      <c r="H51" s="61"/>
      <c r="I51" s="61"/>
      <c r="J51" s="61"/>
      <c r="K51" s="61"/>
    </row>
    <row r="52">
      <c r="C52" s="61"/>
      <c r="H52" s="61"/>
      <c r="I52" s="61"/>
      <c r="J52" s="61"/>
      <c r="K52" s="61"/>
    </row>
    <row r="53">
      <c r="C53" s="61"/>
      <c r="H53" s="61"/>
      <c r="I53" s="61"/>
      <c r="J53" s="61"/>
      <c r="K53" s="61"/>
    </row>
    <row r="54">
      <c r="C54" s="61"/>
      <c r="H54" s="61"/>
      <c r="I54" s="61"/>
      <c r="J54" s="61"/>
      <c r="K54" s="61"/>
    </row>
    <row r="55">
      <c r="C55" s="61"/>
      <c r="H55" s="61"/>
      <c r="I55" s="61"/>
      <c r="J55" s="61"/>
      <c r="K55" s="61"/>
    </row>
    <row r="56">
      <c r="C56" s="61"/>
      <c r="H56" s="61"/>
      <c r="I56" s="61"/>
      <c r="J56" s="61"/>
      <c r="K56" s="61"/>
    </row>
    <row r="57">
      <c r="C57" s="61"/>
      <c r="H57" s="61"/>
      <c r="I57" s="61"/>
      <c r="J57" s="61"/>
      <c r="K57" s="61"/>
    </row>
    <row r="58">
      <c r="C58" s="61"/>
      <c r="H58" s="61"/>
      <c r="I58" s="61"/>
      <c r="J58" s="61"/>
      <c r="K58" s="61"/>
    </row>
    <row r="59">
      <c r="C59" s="61"/>
      <c r="H59" s="61"/>
      <c r="I59" s="61"/>
      <c r="J59" s="61"/>
      <c r="K59" s="61"/>
    </row>
    <row r="60">
      <c r="C60" s="61"/>
      <c r="H60" s="61"/>
      <c r="I60" s="61"/>
      <c r="J60" s="61"/>
      <c r="K60" s="61"/>
      <c r="W60" s="74"/>
      <c r="X60" s="74"/>
      <c r="Y60" s="74"/>
    </row>
    <row r="61">
      <c r="C61" s="61"/>
      <c r="H61" s="61"/>
      <c r="I61" s="61"/>
      <c r="J61" s="61"/>
      <c r="K61" s="61"/>
      <c r="W61" s="74"/>
      <c r="X61" s="74"/>
      <c r="Y61" s="74"/>
    </row>
    <row r="62">
      <c r="C62" s="61"/>
      <c r="H62" s="61"/>
      <c r="I62" s="61"/>
      <c r="J62" s="61"/>
      <c r="K62" s="61"/>
      <c r="W62" s="74"/>
      <c r="X62" s="74"/>
      <c r="Y62" s="74"/>
    </row>
    <row r="63">
      <c r="C63" s="61"/>
      <c r="H63" s="61"/>
      <c r="I63" s="61"/>
      <c r="J63" s="61"/>
      <c r="K63" s="61"/>
      <c r="W63" s="74"/>
      <c r="X63" s="74"/>
      <c r="Y63" s="74"/>
    </row>
    <row r="64">
      <c r="C64" s="61"/>
      <c r="H64" s="61"/>
      <c r="I64" s="61"/>
      <c r="J64" s="61"/>
      <c r="K64" s="61"/>
      <c r="W64" s="74"/>
      <c r="X64" s="74"/>
      <c r="Y64" s="74"/>
    </row>
    <row r="65">
      <c r="C65" s="61"/>
      <c r="H65" s="61"/>
      <c r="I65" s="61"/>
      <c r="J65" s="61"/>
      <c r="K65" s="61"/>
    </row>
    <row r="66">
      <c r="C66" s="61"/>
      <c r="H66" s="61"/>
      <c r="I66" s="61"/>
      <c r="J66" s="61"/>
      <c r="K66" s="61"/>
    </row>
    <row r="67">
      <c r="C67" s="61"/>
      <c r="H67" s="61"/>
      <c r="I67" s="61"/>
      <c r="J67" s="61"/>
      <c r="K67" s="61"/>
    </row>
    <row r="68">
      <c r="C68" s="61"/>
      <c r="H68" s="61"/>
      <c r="I68" s="61"/>
      <c r="J68" s="61"/>
      <c r="K68" s="61"/>
    </row>
    <row r="69">
      <c r="C69" s="61"/>
      <c r="H69" s="61"/>
      <c r="I69" s="61"/>
      <c r="J69" s="61"/>
      <c r="K69" s="61"/>
    </row>
    <row r="70">
      <c r="C70" s="61"/>
      <c r="H70" s="61"/>
      <c r="I70" s="61"/>
      <c r="J70" s="61"/>
      <c r="K70" s="61"/>
    </row>
    <row r="71">
      <c r="C71" s="61"/>
      <c r="H71" s="61"/>
      <c r="I71" s="61"/>
      <c r="J71" s="61"/>
      <c r="K71" s="61"/>
    </row>
    <row r="72">
      <c r="C72" s="61"/>
      <c r="H72" s="61"/>
      <c r="I72" s="61"/>
      <c r="J72" s="61"/>
      <c r="K72" s="61"/>
    </row>
    <row r="73">
      <c r="C73" s="61"/>
      <c r="H73" s="61"/>
      <c r="I73" s="61"/>
      <c r="J73" s="61"/>
      <c r="K73" s="61"/>
    </row>
    <row r="74">
      <c r="C74" s="61"/>
      <c r="H74" s="61"/>
      <c r="I74" s="61"/>
      <c r="J74" s="61"/>
      <c r="K74" s="61"/>
    </row>
    <row r="75">
      <c r="C75" s="61"/>
      <c r="H75" s="61"/>
      <c r="I75" s="61"/>
      <c r="J75" s="61"/>
      <c r="K75" s="61"/>
    </row>
    <row r="76">
      <c r="C76" s="61"/>
      <c r="H76" s="61"/>
      <c r="I76" s="61"/>
      <c r="J76" s="61"/>
      <c r="K76" s="61"/>
    </row>
    <row r="77">
      <c r="C77" s="61"/>
      <c r="H77" s="61"/>
      <c r="I77" s="61"/>
      <c r="J77" s="61"/>
      <c r="K77" s="61"/>
    </row>
    <row r="78">
      <c r="C78" s="61"/>
      <c r="H78" s="61"/>
      <c r="I78" s="61"/>
      <c r="J78" s="61"/>
      <c r="K78" s="61"/>
    </row>
    <row r="79">
      <c r="C79" s="61"/>
      <c r="H79" s="61"/>
      <c r="I79" s="61"/>
      <c r="J79" s="61"/>
      <c r="K79" s="61"/>
    </row>
    <row r="80">
      <c r="C80" s="61"/>
      <c r="H80" s="61"/>
      <c r="I80" s="61"/>
      <c r="J80" s="61"/>
      <c r="K80" s="61"/>
    </row>
    <row r="81">
      <c r="C81" s="61"/>
      <c r="H81" s="61"/>
      <c r="I81" s="61"/>
      <c r="J81" s="61"/>
      <c r="K81" s="61"/>
    </row>
    <row r="82">
      <c r="C82" s="61"/>
      <c r="H82" s="61"/>
      <c r="I82" s="61"/>
      <c r="J82" s="61"/>
      <c r="K82" s="61"/>
    </row>
    <row r="83">
      <c r="C83" s="61"/>
      <c r="H83" s="61"/>
      <c r="I83" s="61"/>
      <c r="J83" s="61"/>
      <c r="K83" s="61"/>
    </row>
    <row r="84">
      <c r="C84" s="61"/>
      <c r="H84" s="61"/>
      <c r="I84" s="61"/>
      <c r="J84" s="61"/>
      <c r="K84" s="61"/>
    </row>
    <row r="85">
      <c r="C85" s="61"/>
      <c r="H85" s="61"/>
      <c r="I85" s="61"/>
      <c r="J85" s="61"/>
      <c r="K85" s="61"/>
    </row>
    <row r="86">
      <c r="C86" s="61"/>
      <c r="H86" s="61"/>
      <c r="I86" s="61"/>
      <c r="J86" s="61"/>
      <c r="K86" s="61"/>
    </row>
    <row r="87">
      <c r="C87" s="61"/>
      <c r="H87" s="61"/>
      <c r="I87" s="61"/>
      <c r="J87" s="61"/>
      <c r="K87" s="61"/>
    </row>
    <row r="88">
      <c r="C88" s="61"/>
      <c r="H88" s="61"/>
      <c r="I88" s="61"/>
      <c r="J88" s="61"/>
      <c r="K88" s="61"/>
    </row>
    <row r="89">
      <c r="C89" s="61"/>
      <c r="H89" s="61"/>
      <c r="I89" s="61"/>
      <c r="J89" s="61"/>
      <c r="K89" s="61"/>
    </row>
    <row r="90">
      <c r="C90" s="61"/>
      <c r="H90" s="61"/>
      <c r="I90" s="61"/>
      <c r="J90" s="61"/>
      <c r="K90" s="61"/>
    </row>
    <row r="91">
      <c r="C91" s="61"/>
      <c r="H91" s="61"/>
      <c r="I91" s="61"/>
      <c r="J91" s="61"/>
      <c r="K91" s="61"/>
    </row>
    <row r="92">
      <c r="C92" s="61"/>
      <c r="H92" s="61"/>
      <c r="I92" s="61"/>
      <c r="J92" s="61"/>
      <c r="K92" s="61"/>
    </row>
    <row r="93">
      <c r="C93" s="61"/>
      <c r="H93" s="61"/>
      <c r="I93" s="61"/>
      <c r="J93" s="61"/>
      <c r="K93" s="61"/>
    </row>
    <row r="94">
      <c r="C94" s="61"/>
      <c r="H94" s="61"/>
      <c r="I94" s="61"/>
      <c r="J94" s="61"/>
      <c r="K94" s="61"/>
    </row>
    <row r="95">
      <c r="C95" s="61"/>
      <c r="H95" s="61"/>
      <c r="I95" s="61"/>
      <c r="J95" s="61"/>
      <c r="K95" s="61"/>
    </row>
    <row r="96">
      <c r="C96" s="61"/>
      <c r="H96" s="61"/>
      <c r="I96" s="61"/>
      <c r="J96" s="61"/>
      <c r="K96" s="61"/>
    </row>
    <row r="97">
      <c r="C97" s="61"/>
      <c r="H97" s="61"/>
      <c r="I97" s="61"/>
      <c r="J97" s="61"/>
      <c r="K97" s="61"/>
    </row>
    <row r="98">
      <c r="C98" s="61"/>
      <c r="H98" s="61"/>
      <c r="I98" s="61"/>
      <c r="J98" s="61"/>
      <c r="K98" s="61"/>
    </row>
    <row r="99">
      <c r="C99" s="61"/>
      <c r="H99" s="61"/>
      <c r="I99" s="61"/>
      <c r="J99" s="61"/>
      <c r="K99" s="61"/>
    </row>
    <row r="100">
      <c r="C100" s="61"/>
      <c r="H100" s="61"/>
      <c r="I100" s="61"/>
      <c r="J100" s="61"/>
      <c r="K100" s="61"/>
    </row>
    <row r="101">
      <c r="C101" s="61"/>
      <c r="H101" s="61"/>
      <c r="I101" s="61"/>
      <c r="J101" s="61"/>
      <c r="K101" s="61"/>
    </row>
    <row r="102">
      <c r="C102" s="61"/>
      <c r="H102" s="61"/>
      <c r="I102" s="61"/>
      <c r="J102" s="61"/>
      <c r="K102" s="61"/>
    </row>
    <row r="103">
      <c r="C103" s="61"/>
      <c r="H103" s="61"/>
      <c r="I103" s="61"/>
      <c r="J103" s="61"/>
      <c r="K103" s="61"/>
    </row>
    <row r="104">
      <c r="C104" s="61"/>
      <c r="H104" s="61"/>
      <c r="I104" s="61"/>
      <c r="J104" s="61"/>
      <c r="K104" s="61"/>
    </row>
    <row r="105">
      <c r="C105" s="61"/>
      <c r="H105" s="61"/>
      <c r="I105" s="61"/>
      <c r="J105" s="61"/>
      <c r="K105" s="61"/>
    </row>
    <row r="106">
      <c r="C106" s="61"/>
      <c r="H106" s="61"/>
      <c r="I106" s="61"/>
      <c r="J106" s="61"/>
      <c r="K106" s="61"/>
    </row>
    <row r="107">
      <c r="C107" s="61"/>
      <c r="H107" s="61"/>
      <c r="I107" s="61"/>
      <c r="J107" s="61"/>
      <c r="K107" s="61"/>
    </row>
    <row r="108">
      <c r="C108" s="61"/>
      <c r="H108" s="61"/>
      <c r="I108" s="61"/>
      <c r="J108" s="61"/>
      <c r="K108" s="61"/>
    </row>
    <row r="109">
      <c r="C109" s="61"/>
      <c r="H109" s="61"/>
      <c r="I109" s="61"/>
      <c r="J109" s="61"/>
      <c r="K109" s="61"/>
    </row>
    <row r="110">
      <c r="C110" s="61"/>
      <c r="H110" s="61"/>
      <c r="I110" s="61"/>
      <c r="J110" s="61"/>
      <c r="K110" s="61"/>
    </row>
    <row r="111">
      <c r="C111" s="61"/>
      <c r="H111" s="61"/>
      <c r="I111" s="61"/>
      <c r="J111" s="61"/>
      <c r="K111" s="61"/>
    </row>
    <row r="112">
      <c r="C112" s="61"/>
      <c r="H112" s="61"/>
      <c r="I112" s="61"/>
      <c r="J112" s="61"/>
      <c r="K112" s="61"/>
    </row>
    <row r="113">
      <c r="C113" s="61"/>
      <c r="H113" s="61"/>
      <c r="I113" s="61"/>
      <c r="J113" s="61"/>
      <c r="K113" s="61"/>
    </row>
    <row r="114">
      <c r="C114" s="61"/>
      <c r="H114" s="61"/>
      <c r="I114" s="61"/>
      <c r="J114" s="61"/>
      <c r="K114" s="61"/>
    </row>
    <row r="115">
      <c r="C115" s="61"/>
      <c r="H115" s="61"/>
      <c r="I115" s="61"/>
      <c r="J115" s="61"/>
      <c r="K115" s="61"/>
    </row>
    <row r="116">
      <c r="C116" s="61"/>
      <c r="H116" s="61"/>
      <c r="I116" s="61"/>
      <c r="J116" s="61"/>
      <c r="K116" s="61"/>
    </row>
    <row r="117">
      <c r="C117" s="61"/>
      <c r="H117" s="61"/>
      <c r="I117" s="61"/>
      <c r="J117" s="61"/>
      <c r="K117" s="61"/>
    </row>
    <row r="118">
      <c r="C118" s="61"/>
      <c r="H118" s="61"/>
      <c r="I118" s="61"/>
      <c r="J118" s="61"/>
      <c r="K118" s="61"/>
    </row>
    <row r="119">
      <c r="C119" s="61"/>
      <c r="H119" s="61"/>
      <c r="I119" s="61"/>
      <c r="J119" s="61"/>
      <c r="K119" s="61"/>
    </row>
    <row r="120">
      <c r="C120" s="61"/>
      <c r="H120" s="61"/>
      <c r="I120" s="61"/>
      <c r="J120" s="61"/>
      <c r="K120" s="61"/>
    </row>
    <row r="121">
      <c r="C121" s="61"/>
      <c r="H121" s="61"/>
      <c r="I121" s="61"/>
      <c r="J121" s="61"/>
      <c r="K121" s="61"/>
    </row>
    <row r="122">
      <c r="C122" s="61"/>
      <c r="H122" s="61"/>
      <c r="I122" s="61"/>
      <c r="J122" s="61"/>
      <c r="K122" s="61"/>
    </row>
    <row r="123">
      <c r="C123" s="61"/>
      <c r="H123" s="61"/>
      <c r="I123" s="61"/>
      <c r="J123" s="61"/>
      <c r="K123" s="61"/>
    </row>
    <row r="124">
      <c r="C124" s="61"/>
      <c r="H124" s="61"/>
      <c r="I124" s="61"/>
      <c r="J124" s="61"/>
      <c r="K124" s="61"/>
    </row>
    <row r="125">
      <c r="C125" s="61"/>
      <c r="H125" s="61"/>
      <c r="I125" s="61"/>
      <c r="J125" s="61"/>
      <c r="K125" s="61"/>
    </row>
    <row r="126">
      <c r="C126" s="61"/>
      <c r="H126" s="61"/>
      <c r="I126" s="61"/>
      <c r="J126" s="61"/>
      <c r="K126" s="61"/>
    </row>
    <row r="127">
      <c r="C127" s="61"/>
      <c r="H127" s="61"/>
      <c r="I127" s="61"/>
      <c r="J127" s="61"/>
      <c r="K127" s="61"/>
    </row>
    <row r="128">
      <c r="C128" s="61"/>
      <c r="H128" s="61"/>
      <c r="I128" s="61"/>
      <c r="J128" s="61"/>
      <c r="K128" s="61"/>
    </row>
    <row r="129">
      <c r="C129" s="61"/>
      <c r="H129" s="61"/>
      <c r="I129" s="61"/>
      <c r="J129" s="61"/>
      <c r="K129" s="61"/>
    </row>
    <row r="130">
      <c r="C130" s="61"/>
      <c r="H130" s="61"/>
      <c r="I130" s="61"/>
      <c r="J130" s="61"/>
      <c r="K130" s="61"/>
    </row>
    <row r="131">
      <c r="C131" s="61"/>
      <c r="H131" s="61"/>
      <c r="I131" s="61"/>
      <c r="J131" s="61"/>
      <c r="K131" s="61"/>
    </row>
    <row r="132">
      <c r="C132" s="61"/>
      <c r="H132" s="61"/>
      <c r="I132" s="61"/>
      <c r="J132" s="61"/>
      <c r="K132" s="61"/>
    </row>
    <row r="133">
      <c r="C133" s="61"/>
      <c r="H133" s="61"/>
      <c r="I133" s="61"/>
      <c r="J133" s="61"/>
      <c r="K133" s="61"/>
    </row>
    <row r="134">
      <c r="C134" s="61"/>
      <c r="H134" s="61"/>
      <c r="I134" s="61"/>
      <c r="J134" s="61"/>
      <c r="K134" s="61"/>
    </row>
    <row r="135">
      <c r="C135" s="61"/>
      <c r="H135" s="61"/>
      <c r="I135" s="61"/>
      <c r="J135" s="61"/>
      <c r="K135" s="61"/>
    </row>
    <row r="136">
      <c r="C136" s="61"/>
      <c r="H136" s="61"/>
      <c r="I136" s="61"/>
      <c r="J136" s="61"/>
      <c r="K136" s="61"/>
    </row>
    <row r="137">
      <c r="C137" s="61"/>
      <c r="H137" s="61"/>
      <c r="I137" s="61"/>
      <c r="J137" s="61"/>
      <c r="K137" s="61"/>
    </row>
    <row r="138">
      <c r="C138" s="61"/>
      <c r="H138" s="61"/>
      <c r="I138" s="61"/>
      <c r="J138" s="61"/>
      <c r="K138" s="61"/>
    </row>
    <row r="139">
      <c r="C139" s="61"/>
      <c r="H139" s="61"/>
      <c r="I139" s="61"/>
      <c r="J139" s="61"/>
      <c r="K139" s="61"/>
    </row>
    <row r="140">
      <c r="C140" s="61"/>
      <c r="H140" s="61"/>
      <c r="I140" s="61"/>
      <c r="J140" s="61"/>
      <c r="K140" s="61"/>
    </row>
    <row r="141">
      <c r="C141" s="61"/>
      <c r="H141" s="61"/>
      <c r="I141" s="61"/>
      <c r="J141" s="61"/>
      <c r="K141" s="61"/>
    </row>
    <row r="142">
      <c r="C142" s="61"/>
      <c r="H142" s="61"/>
      <c r="I142" s="61"/>
      <c r="J142" s="61"/>
      <c r="K142" s="61"/>
    </row>
    <row r="143">
      <c r="C143" s="61"/>
      <c r="H143" s="61"/>
      <c r="I143" s="61"/>
      <c r="J143" s="61"/>
      <c r="K143" s="61"/>
    </row>
    <row r="144">
      <c r="C144" s="61"/>
      <c r="H144" s="61"/>
      <c r="I144" s="61"/>
      <c r="J144" s="61"/>
      <c r="K144" s="61"/>
    </row>
    <row r="145">
      <c r="C145" s="61"/>
      <c r="H145" s="61"/>
      <c r="I145" s="61"/>
      <c r="J145" s="61"/>
      <c r="K145" s="61"/>
    </row>
    <row r="146">
      <c r="C146" s="61"/>
      <c r="H146" s="61"/>
      <c r="I146" s="61"/>
      <c r="J146" s="61"/>
      <c r="K146" s="61"/>
    </row>
    <row r="147">
      <c r="C147" s="61"/>
      <c r="H147" s="61"/>
      <c r="I147" s="61"/>
      <c r="J147" s="61"/>
      <c r="K147" s="61"/>
    </row>
    <row r="148">
      <c r="C148" s="61"/>
      <c r="H148" s="61"/>
      <c r="I148" s="61"/>
      <c r="J148" s="61"/>
      <c r="K148" s="61"/>
    </row>
    <row r="149">
      <c r="C149" s="61"/>
      <c r="H149" s="61"/>
      <c r="I149" s="61"/>
      <c r="J149" s="61"/>
      <c r="K149" s="61"/>
    </row>
    <row r="150">
      <c r="C150" s="61"/>
      <c r="H150" s="61"/>
      <c r="I150" s="61"/>
      <c r="J150" s="61"/>
      <c r="K150" s="61"/>
    </row>
    <row r="151">
      <c r="C151" s="61"/>
      <c r="H151" s="61"/>
      <c r="I151" s="61"/>
      <c r="J151" s="61"/>
      <c r="K151" s="61"/>
    </row>
    <row r="152">
      <c r="C152" s="61"/>
      <c r="H152" s="61"/>
      <c r="I152" s="61"/>
      <c r="J152" s="61"/>
      <c r="K152" s="61"/>
    </row>
    <row r="153">
      <c r="C153" s="61"/>
      <c r="H153" s="61"/>
      <c r="I153" s="61"/>
      <c r="J153" s="61"/>
      <c r="K153" s="61"/>
    </row>
    <row r="154">
      <c r="C154" s="61"/>
      <c r="H154" s="61"/>
      <c r="I154" s="61"/>
      <c r="J154" s="61"/>
      <c r="K154" s="61"/>
    </row>
    <row r="155">
      <c r="C155" s="61"/>
      <c r="H155" s="61"/>
      <c r="I155" s="61"/>
      <c r="J155" s="61"/>
      <c r="K155" s="61"/>
    </row>
    <row r="156">
      <c r="C156" s="61"/>
      <c r="H156" s="61"/>
      <c r="I156" s="61"/>
      <c r="J156" s="61"/>
      <c r="K156" s="61"/>
    </row>
    <row r="157">
      <c r="C157" s="61"/>
      <c r="H157" s="61"/>
      <c r="I157" s="61"/>
      <c r="J157" s="61"/>
      <c r="K157" s="61"/>
    </row>
    <row r="158">
      <c r="C158" s="61"/>
      <c r="H158" s="61"/>
      <c r="I158" s="61"/>
      <c r="J158" s="61"/>
      <c r="K158" s="61"/>
    </row>
    <row r="159">
      <c r="C159" s="61"/>
      <c r="H159" s="61"/>
      <c r="I159" s="61"/>
      <c r="J159" s="61"/>
      <c r="K159" s="61"/>
    </row>
    <row r="160">
      <c r="C160" s="61"/>
      <c r="H160" s="61"/>
      <c r="I160" s="61"/>
      <c r="J160" s="61"/>
      <c r="K160" s="61"/>
    </row>
    <row r="161">
      <c r="C161" s="61"/>
      <c r="H161" s="61"/>
      <c r="I161" s="61"/>
      <c r="J161" s="61"/>
      <c r="K161" s="61"/>
    </row>
    <row r="162">
      <c r="C162" s="61"/>
      <c r="H162" s="61"/>
      <c r="I162" s="61"/>
      <c r="J162" s="61"/>
      <c r="K162" s="61"/>
    </row>
    <row r="163">
      <c r="C163" s="61"/>
      <c r="H163" s="61"/>
      <c r="I163" s="61"/>
      <c r="J163" s="61"/>
      <c r="K163" s="61"/>
    </row>
    <row r="164">
      <c r="C164" s="61"/>
      <c r="H164" s="61"/>
      <c r="I164" s="61"/>
      <c r="J164" s="61"/>
      <c r="K164" s="61"/>
    </row>
    <row r="165">
      <c r="C165" s="61"/>
      <c r="H165" s="61"/>
      <c r="I165" s="61"/>
      <c r="J165" s="61"/>
      <c r="K165" s="61"/>
    </row>
    <row r="166">
      <c r="C166" s="61"/>
      <c r="H166" s="61"/>
      <c r="I166" s="61"/>
      <c r="J166" s="61"/>
      <c r="K166" s="61"/>
    </row>
    <row r="167">
      <c r="C167" s="61"/>
      <c r="H167" s="61"/>
      <c r="I167" s="61"/>
      <c r="J167" s="61"/>
      <c r="K167" s="61"/>
    </row>
    <row r="168">
      <c r="C168" s="61"/>
      <c r="H168" s="61"/>
      <c r="I168" s="61"/>
      <c r="J168" s="61"/>
      <c r="K168" s="61"/>
    </row>
    <row r="169">
      <c r="C169" s="61"/>
      <c r="H169" s="61"/>
      <c r="I169" s="61"/>
      <c r="J169" s="61"/>
      <c r="K169" s="61"/>
    </row>
    <row r="170">
      <c r="C170" s="61"/>
      <c r="H170" s="61"/>
      <c r="I170" s="61"/>
      <c r="J170" s="61"/>
      <c r="K170" s="61"/>
    </row>
    <row r="171">
      <c r="C171" s="61"/>
      <c r="H171" s="61"/>
      <c r="I171" s="61"/>
      <c r="J171" s="61"/>
      <c r="K171" s="61"/>
    </row>
    <row r="172">
      <c r="C172" s="61"/>
      <c r="H172" s="61"/>
      <c r="I172" s="61"/>
      <c r="J172" s="61"/>
      <c r="K172" s="61"/>
    </row>
    <row r="173">
      <c r="C173" s="61"/>
      <c r="H173" s="61"/>
      <c r="I173" s="61"/>
      <c r="J173" s="61"/>
      <c r="K173" s="61"/>
    </row>
    <row r="174">
      <c r="C174" s="61"/>
      <c r="H174" s="61"/>
      <c r="I174" s="61"/>
      <c r="J174" s="61"/>
      <c r="K174" s="61"/>
    </row>
    <row r="175">
      <c r="C175" s="61"/>
      <c r="H175" s="61"/>
      <c r="I175" s="61"/>
      <c r="J175" s="61"/>
      <c r="K175" s="61"/>
    </row>
    <row r="176">
      <c r="C176" s="61"/>
      <c r="H176" s="61"/>
      <c r="I176" s="61"/>
      <c r="J176" s="61"/>
      <c r="K176" s="61"/>
    </row>
    <row r="177">
      <c r="C177" s="61"/>
      <c r="H177" s="61"/>
      <c r="I177" s="61"/>
      <c r="J177" s="61"/>
      <c r="K177" s="61"/>
    </row>
    <row r="178">
      <c r="C178" s="61"/>
      <c r="H178" s="61"/>
      <c r="I178" s="61"/>
      <c r="J178" s="61"/>
      <c r="K178" s="61"/>
    </row>
    <row r="179">
      <c r="C179" s="61"/>
      <c r="H179" s="61"/>
      <c r="I179" s="61"/>
      <c r="J179" s="61"/>
      <c r="K179" s="61"/>
    </row>
    <row r="180">
      <c r="C180" s="61"/>
      <c r="H180" s="61"/>
      <c r="I180" s="61"/>
      <c r="J180" s="61"/>
      <c r="K180" s="61"/>
    </row>
    <row r="181">
      <c r="C181" s="61"/>
      <c r="H181" s="61"/>
      <c r="I181" s="61"/>
      <c r="J181" s="61"/>
      <c r="K181" s="61"/>
    </row>
    <row r="182">
      <c r="C182" s="61"/>
      <c r="H182" s="61"/>
      <c r="I182" s="61"/>
      <c r="J182" s="61"/>
      <c r="K182" s="61"/>
    </row>
    <row r="183">
      <c r="C183" s="61"/>
      <c r="H183" s="61"/>
      <c r="I183" s="61"/>
      <c r="J183" s="61"/>
      <c r="K183" s="61"/>
    </row>
    <row r="184">
      <c r="C184" s="61"/>
      <c r="H184" s="61"/>
      <c r="I184" s="61"/>
      <c r="J184" s="61"/>
      <c r="K184" s="61"/>
    </row>
    <row r="185">
      <c r="C185" s="61"/>
      <c r="H185" s="61"/>
      <c r="I185" s="61"/>
      <c r="J185" s="61"/>
      <c r="K185" s="61"/>
    </row>
    <row r="186">
      <c r="C186" s="61"/>
      <c r="H186" s="61"/>
      <c r="I186" s="61"/>
      <c r="J186" s="61"/>
      <c r="K186" s="61"/>
    </row>
    <row r="187">
      <c r="C187" s="61"/>
      <c r="H187" s="61"/>
      <c r="I187" s="61"/>
      <c r="J187" s="61"/>
      <c r="K187" s="61"/>
    </row>
    <row r="188">
      <c r="C188" s="61"/>
      <c r="H188" s="61"/>
      <c r="I188" s="61"/>
      <c r="J188" s="61"/>
      <c r="K188" s="61"/>
    </row>
    <row r="189">
      <c r="C189" s="61"/>
      <c r="H189" s="61"/>
      <c r="I189" s="61"/>
      <c r="J189" s="61"/>
      <c r="K189" s="61"/>
    </row>
    <row r="190">
      <c r="C190" s="61"/>
      <c r="H190" s="61"/>
      <c r="I190" s="61"/>
      <c r="J190" s="61"/>
      <c r="K190" s="61"/>
    </row>
    <row r="191">
      <c r="C191" s="61"/>
      <c r="H191" s="61"/>
      <c r="I191" s="61"/>
      <c r="J191" s="61"/>
      <c r="K191" s="61"/>
    </row>
    <row r="192">
      <c r="C192" s="61"/>
      <c r="H192" s="61"/>
      <c r="I192" s="61"/>
      <c r="J192" s="61"/>
      <c r="K192" s="61"/>
    </row>
    <row r="193">
      <c r="C193" s="61"/>
      <c r="H193" s="61"/>
      <c r="I193" s="61"/>
      <c r="J193" s="61"/>
      <c r="K193" s="61"/>
    </row>
    <row r="194">
      <c r="C194" s="61"/>
      <c r="H194" s="61"/>
      <c r="I194" s="61"/>
      <c r="J194" s="61"/>
      <c r="K194" s="61"/>
    </row>
    <row r="195">
      <c r="C195" s="61"/>
      <c r="H195" s="61"/>
      <c r="I195" s="61"/>
      <c r="J195" s="61"/>
      <c r="K195" s="61"/>
    </row>
    <row r="196">
      <c r="C196" s="61"/>
      <c r="H196" s="61"/>
      <c r="I196" s="61"/>
      <c r="J196" s="61"/>
      <c r="K196" s="61"/>
    </row>
    <row r="197">
      <c r="C197" s="61"/>
      <c r="H197" s="61"/>
      <c r="I197" s="61"/>
      <c r="J197" s="61"/>
      <c r="K197" s="61"/>
    </row>
    <row r="198">
      <c r="C198" s="61"/>
      <c r="H198" s="61"/>
      <c r="I198" s="61"/>
      <c r="J198" s="61"/>
      <c r="K198" s="61"/>
    </row>
    <row r="199">
      <c r="C199" s="61"/>
      <c r="H199" s="61"/>
      <c r="I199" s="61"/>
      <c r="J199" s="61"/>
      <c r="K199" s="61"/>
    </row>
    <row r="200">
      <c r="C200" s="61"/>
      <c r="H200" s="61"/>
      <c r="I200" s="61"/>
      <c r="J200" s="61"/>
      <c r="K200" s="61"/>
    </row>
    <row r="201">
      <c r="C201" s="61"/>
      <c r="H201" s="61"/>
      <c r="I201" s="61"/>
      <c r="J201" s="61"/>
      <c r="K201" s="61"/>
    </row>
    <row r="202">
      <c r="C202" s="61"/>
      <c r="H202" s="61"/>
      <c r="I202" s="61"/>
      <c r="J202" s="61"/>
      <c r="K202" s="61"/>
    </row>
    <row r="203">
      <c r="C203" s="61"/>
      <c r="H203" s="61"/>
      <c r="I203" s="61"/>
      <c r="J203" s="61"/>
      <c r="K203" s="61"/>
    </row>
    <row r="204">
      <c r="C204" s="61"/>
      <c r="H204" s="61"/>
      <c r="I204" s="61"/>
      <c r="J204" s="61"/>
      <c r="K204" s="61"/>
    </row>
    <row r="205">
      <c r="C205" s="61"/>
      <c r="H205" s="61"/>
      <c r="I205" s="61"/>
      <c r="J205" s="61"/>
      <c r="K205" s="61"/>
    </row>
    <row r="206">
      <c r="C206" s="61"/>
      <c r="H206" s="61"/>
      <c r="I206" s="61"/>
      <c r="J206" s="61"/>
      <c r="K206" s="61"/>
    </row>
    <row r="207">
      <c r="C207" s="61"/>
      <c r="H207" s="61"/>
      <c r="I207" s="61"/>
      <c r="J207" s="61"/>
      <c r="K207" s="61"/>
    </row>
    <row r="208">
      <c r="C208" s="61"/>
      <c r="H208" s="61"/>
      <c r="I208" s="61"/>
      <c r="J208" s="61"/>
      <c r="K208" s="61"/>
    </row>
    <row r="209">
      <c r="C209" s="61"/>
      <c r="H209" s="61"/>
      <c r="I209" s="61"/>
      <c r="J209" s="61"/>
      <c r="K209" s="61"/>
    </row>
    <row r="210">
      <c r="C210" s="61"/>
      <c r="H210" s="61"/>
      <c r="I210" s="61"/>
      <c r="J210" s="61"/>
      <c r="K210" s="61"/>
    </row>
    <row r="211">
      <c r="C211" s="61"/>
      <c r="H211" s="61"/>
      <c r="I211" s="61"/>
      <c r="J211" s="61"/>
      <c r="K211" s="61"/>
    </row>
    <row r="212">
      <c r="C212" s="61"/>
      <c r="H212" s="61"/>
      <c r="I212" s="61"/>
      <c r="J212" s="61"/>
      <c r="K212" s="61"/>
    </row>
    <row r="213">
      <c r="C213" s="61"/>
      <c r="H213" s="61"/>
      <c r="I213" s="61"/>
      <c r="J213" s="61"/>
      <c r="K213" s="61"/>
    </row>
    <row r="214">
      <c r="C214" s="61"/>
      <c r="H214" s="61"/>
      <c r="I214" s="61"/>
      <c r="J214" s="61"/>
      <c r="K214" s="61"/>
    </row>
    <row r="215">
      <c r="C215" s="61"/>
      <c r="H215" s="61"/>
      <c r="I215" s="61"/>
      <c r="J215" s="61"/>
      <c r="K215" s="61"/>
    </row>
    <row r="216">
      <c r="C216" s="61"/>
      <c r="H216" s="61"/>
      <c r="I216" s="61"/>
      <c r="J216" s="61"/>
      <c r="K216" s="61"/>
    </row>
    <row r="217">
      <c r="C217" s="61"/>
      <c r="H217" s="61"/>
      <c r="I217" s="61"/>
      <c r="J217" s="61"/>
      <c r="K217" s="61"/>
    </row>
    <row r="218">
      <c r="C218" s="61"/>
      <c r="H218" s="61"/>
      <c r="I218" s="61"/>
      <c r="J218" s="61"/>
      <c r="K218" s="61"/>
    </row>
    <row r="219">
      <c r="C219" s="61"/>
      <c r="H219" s="61"/>
      <c r="I219" s="61"/>
      <c r="J219" s="61"/>
      <c r="K219" s="61"/>
    </row>
    <row r="220">
      <c r="C220" s="61"/>
      <c r="H220" s="61"/>
      <c r="I220" s="61"/>
      <c r="J220" s="61"/>
      <c r="K220" s="61"/>
    </row>
    <row r="221">
      <c r="C221" s="61"/>
      <c r="H221" s="61"/>
      <c r="I221" s="61"/>
      <c r="J221" s="61"/>
      <c r="K221" s="61"/>
    </row>
    <row r="222">
      <c r="C222" s="61"/>
      <c r="H222" s="61"/>
      <c r="I222" s="61"/>
      <c r="J222" s="61"/>
      <c r="K222" s="61"/>
    </row>
    <row r="223">
      <c r="C223" s="61"/>
      <c r="H223" s="61"/>
      <c r="I223" s="61"/>
      <c r="J223" s="61"/>
      <c r="K223" s="61"/>
    </row>
    <row r="224">
      <c r="C224" s="61"/>
      <c r="H224" s="61"/>
      <c r="I224" s="61"/>
      <c r="J224" s="61"/>
      <c r="K224" s="61"/>
    </row>
    <row r="225">
      <c r="C225" s="61"/>
      <c r="H225" s="61"/>
      <c r="I225" s="61"/>
      <c r="J225" s="61"/>
      <c r="K225" s="61"/>
    </row>
    <row r="226">
      <c r="C226" s="61"/>
      <c r="H226" s="61"/>
      <c r="I226" s="61"/>
      <c r="J226" s="61"/>
      <c r="K226" s="61"/>
    </row>
    <row r="227">
      <c r="C227" s="61"/>
      <c r="H227" s="61"/>
      <c r="I227" s="61"/>
      <c r="J227" s="61"/>
      <c r="K227" s="61"/>
    </row>
    <row r="228">
      <c r="C228" s="61"/>
      <c r="H228" s="61"/>
      <c r="I228" s="61"/>
      <c r="J228" s="61"/>
      <c r="K228" s="61"/>
    </row>
    <row r="229">
      <c r="C229" s="61"/>
      <c r="H229" s="61"/>
      <c r="I229" s="61"/>
      <c r="J229" s="61"/>
      <c r="K229" s="61"/>
    </row>
    <row r="230">
      <c r="C230" s="61"/>
      <c r="H230" s="61"/>
      <c r="I230" s="61"/>
      <c r="J230" s="61"/>
      <c r="K230" s="61"/>
    </row>
    <row r="231">
      <c r="C231" s="61"/>
      <c r="H231" s="61"/>
      <c r="I231" s="61"/>
      <c r="J231" s="61"/>
      <c r="K231" s="61"/>
    </row>
    <row r="232">
      <c r="C232" s="61"/>
      <c r="H232" s="61"/>
      <c r="I232" s="61"/>
      <c r="J232" s="61"/>
      <c r="K232" s="61"/>
    </row>
    <row r="233">
      <c r="C233" s="61"/>
      <c r="H233" s="61"/>
      <c r="I233" s="61"/>
      <c r="J233" s="61"/>
      <c r="K233" s="61"/>
    </row>
    <row r="234">
      <c r="C234" s="61"/>
      <c r="H234" s="61"/>
      <c r="I234" s="61"/>
      <c r="J234" s="61"/>
      <c r="K234" s="61"/>
    </row>
    <row r="235">
      <c r="C235" s="61"/>
      <c r="H235" s="61"/>
      <c r="I235" s="61"/>
      <c r="J235" s="61"/>
      <c r="K235" s="61"/>
    </row>
    <row r="236">
      <c r="C236" s="61"/>
      <c r="H236" s="61"/>
      <c r="I236" s="61"/>
      <c r="J236" s="61"/>
      <c r="K236" s="61"/>
    </row>
    <row r="237">
      <c r="C237" s="61"/>
      <c r="H237" s="61"/>
      <c r="I237" s="61"/>
      <c r="J237" s="61"/>
      <c r="K237" s="61"/>
    </row>
    <row r="238">
      <c r="C238" s="61"/>
      <c r="H238" s="61"/>
      <c r="I238" s="61"/>
      <c r="J238" s="61"/>
      <c r="K238" s="61"/>
    </row>
    <row r="239">
      <c r="C239" s="61"/>
      <c r="H239" s="61"/>
      <c r="I239" s="61"/>
      <c r="J239" s="61"/>
      <c r="K239" s="61"/>
    </row>
    <row r="240">
      <c r="C240" s="61"/>
      <c r="H240" s="61"/>
      <c r="I240" s="61"/>
      <c r="J240" s="61"/>
      <c r="K240" s="61"/>
    </row>
    <row r="241">
      <c r="C241" s="61"/>
      <c r="H241" s="61"/>
      <c r="I241" s="61"/>
      <c r="J241" s="61"/>
      <c r="K241" s="61"/>
    </row>
    <row r="242">
      <c r="C242" s="61"/>
      <c r="H242" s="61"/>
      <c r="I242" s="61"/>
      <c r="J242" s="61"/>
      <c r="K242" s="61"/>
    </row>
    <row r="243">
      <c r="C243" s="61"/>
      <c r="H243" s="61"/>
      <c r="I243" s="61"/>
      <c r="J243" s="61"/>
      <c r="K243" s="61"/>
    </row>
    <row r="244">
      <c r="C244" s="61"/>
      <c r="H244" s="61"/>
      <c r="I244" s="61"/>
      <c r="J244" s="61"/>
      <c r="K244" s="61"/>
    </row>
    <row r="245">
      <c r="C245" s="61"/>
      <c r="H245" s="61"/>
      <c r="I245" s="61"/>
      <c r="J245" s="61"/>
      <c r="K245" s="61"/>
    </row>
    <row r="246">
      <c r="C246" s="61"/>
      <c r="H246" s="61"/>
      <c r="I246" s="61"/>
      <c r="J246" s="61"/>
      <c r="K246" s="61"/>
    </row>
    <row r="247">
      <c r="C247" s="61"/>
      <c r="H247" s="61"/>
      <c r="I247" s="61"/>
      <c r="J247" s="61"/>
      <c r="K247" s="61"/>
    </row>
    <row r="248">
      <c r="C248" s="61"/>
      <c r="H248" s="61"/>
      <c r="I248" s="61"/>
      <c r="J248" s="61"/>
      <c r="K248" s="61"/>
    </row>
    <row r="249">
      <c r="C249" s="61"/>
      <c r="H249" s="61"/>
      <c r="I249" s="61"/>
      <c r="J249" s="61"/>
      <c r="K249" s="61"/>
    </row>
    <row r="250">
      <c r="C250" s="61"/>
      <c r="H250" s="61"/>
      <c r="I250" s="61"/>
      <c r="J250" s="61"/>
      <c r="K250" s="61"/>
    </row>
    <row r="251">
      <c r="C251" s="61"/>
      <c r="H251" s="61"/>
      <c r="I251" s="61"/>
      <c r="J251" s="61"/>
      <c r="K251" s="61"/>
    </row>
    <row r="252">
      <c r="C252" s="61"/>
      <c r="H252" s="61"/>
      <c r="I252" s="61"/>
      <c r="J252" s="61"/>
      <c r="K252" s="61"/>
    </row>
    <row r="253">
      <c r="C253" s="61"/>
      <c r="H253" s="61"/>
      <c r="I253" s="61"/>
      <c r="J253" s="61"/>
      <c r="K253" s="61"/>
    </row>
    <row r="254">
      <c r="C254" s="61"/>
      <c r="H254" s="61"/>
      <c r="I254" s="61"/>
      <c r="J254" s="61"/>
      <c r="K254" s="61"/>
    </row>
    <row r="255">
      <c r="C255" s="61"/>
      <c r="H255" s="61"/>
      <c r="I255" s="61"/>
      <c r="J255" s="61"/>
      <c r="K255" s="61"/>
    </row>
    <row r="256">
      <c r="C256" s="61"/>
      <c r="H256" s="61"/>
      <c r="I256" s="61"/>
      <c r="J256" s="61"/>
      <c r="K256" s="61"/>
    </row>
    <row r="257">
      <c r="C257" s="61"/>
      <c r="H257" s="61"/>
      <c r="I257" s="61"/>
      <c r="J257" s="61"/>
      <c r="K257" s="61"/>
    </row>
    <row r="258">
      <c r="C258" s="61"/>
      <c r="H258" s="61"/>
      <c r="I258" s="61"/>
      <c r="J258" s="61"/>
      <c r="K258" s="61"/>
    </row>
    <row r="259">
      <c r="C259" s="61"/>
      <c r="H259" s="61"/>
      <c r="I259" s="61"/>
      <c r="J259" s="61"/>
      <c r="K259" s="61"/>
    </row>
    <row r="260">
      <c r="C260" s="61"/>
      <c r="H260" s="61"/>
      <c r="I260" s="61"/>
      <c r="J260" s="61"/>
      <c r="K260" s="61"/>
    </row>
    <row r="261">
      <c r="C261" s="61"/>
      <c r="H261" s="61"/>
      <c r="I261" s="61"/>
      <c r="J261" s="61"/>
      <c r="K261" s="61"/>
    </row>
    <row r="262">
      <c r="C262" s="61"/>
      <c r="H262" s="61"/>
      <c r="I262" s="61"/>
      <c r="J262" s="61"/>
      <c r="K262" s="61"/>
    </row>
    <row r="263">
      <c r="C263" s="61"/>
      <c r="H263" s="61"/>
      <c r="I263" s="61"/>
      <c r="J263" s="61"/>
      <c r="K263" s="61"/>
    </row>
    <row r="264">
      <c r="C264" s="61"/>
      <c r="H264" s="61"/>
      <c r="I264" s="61"/>
      <c r="J264" s="61"/>
      <c r="K264" s="61"/>
    </row>
    <row r="265">
      <c r="C265" s="61"/>
      <c r="H265" s="61"/>
      <c r="I265" s="61"/>
      <c r="J265" s="61"/>
      <c r="K265" s="61"/>
    </row>
    <row r="266">
      <c r="C266" s="61"/>
      <c r="H266" s="61"/>
      <c r="I266" s="61"/>
      <c r="J266" s="61"/>
      <c r="K266" s="61"/>
    </row>
    <row r="267">
      <c r="C267" s="61"/>
      <c r="H267" s="61"/>
      <c r="I267" s="61"/>
      <c r="J267" s="61"/>
      <c r="K267" s="61"/>
    </row>
    <row r="268">
      <c r="C268" s="61"/>
      <c r="H268" s="61"/>
      <c r="I268" s="61"/>
      <c r="J268" s="61"/>
      <c r="K268" s="61"/>
    </row>
    <row r="269">
      <c r="C269" s="61"/>
      <c r="H269" s="61"/>
      <c r="I269" s="61"/>
      <c r="J269" s="61"/>
      <c r="K269" s="61"/>
    </row>
    <row r="270">
      <c r="C270" s="61"/>
      <c r="H270" s="61"/>
      <c r="I270" s="61"/>
      <c r="J270" s="61"/>
      <c r="K270" s="61"/>
    </row>
    <row r="271">
      <c r="C271" s="61"/>
      <c r="H271" s="61"/>
      <c r="I271" s="61"/>
      <c r="J271" s="61"/>
      <c r="K271" s="61"/>
    </row>
    <row r="272">
      <c r="C272" s="61"/>
      <c r="H272" s="61"/>
      <c r="I272" s="61"/>
      <c r="J272" s="61"/>
      <c r="K272" s="61"/>
    </row>
    <row r="273">
      <c r="C273" s="61"/>
      <c r="H273" s="61"/>
      <c r="I273" s="61"/>
      <c r="J273" s="61"/>
      <c r="K273" s="61"/>
    </row>
    <row r="274">
      <c r="C274" s="61"/>
      <c r="H274" s="61"/>
      <c r="I274" s="61"/>
      <c r="J274" s="61"/>
      <c r="K274" s="61"/>
    </row>
    <row r="275">
      <c r="C275" s="61"/>
      <c r="H275" s="61"/>
      <c r="I275" s="61"/>
      <c r="J275" s="61"/>
      <c r="K275" s="61"/>
    </row>
    <row r="276">
      <c r="C276" s="61"/>
      <c r="H276" s="61"/>
      <c r="I276" s="61"/>
      <c r="J276" s="61"/>
      <c r="K276" s="61"/>
    </row>
    <row r="277">
      <c r="C277" s="61"/>
      <c r="H277" s="61"/>
      <c r="I277" s="61"/>
      <c r="J277" s="61"/>
      <c r="K277" s="61"/>
    </row>
    <row r="278">
      <c r="C278" s="61"/>
      <c r="H278" s="61"/>
      <c r="I278" s="61"/>
      <c r="J278" s="61"/>
      <c r="K278" s="61"/>
    </row>
    <row r="279">
      <c r="C279" s="61"/>
      <c r="H279" s="61"/>
      <c r="I279" s="61"/>
      <c r="J279" s="61"/>
      <c r="K279" s="61"/>
    </row>
    <row r="280">
      <c r="C280" s="61"/>
      <c r="H280" s="61"/>
      <c r="I280" s="61"/>
      <c r="J280" s="61"/>
      <c r="K280" s="61"/>
    </row>
    <row r="281">
      <c r="C281" s="61"/>
      <c r="H281" s="61"/>
      <c r="I281" s="61"/>
      <c r="J281" s="61"/>
      <c r="K281" s="61"/>
    </row>
    <row r="282">
      <c r="C282" s="61"/>
      <c r="H282" s="61"/>
      <c r="I282" s="61"/>
      <c r="J282" s="61"/>
      <c r="K282" s="61"/>
    </row>
    <row r="283">
      <c r="C283" s="61"/>
      <c r="H283" s="61"/>
      <c r="I283" s="61"/>
      <c r="J283" s="61"/>
      <c r="K283" s="61"/>
    </row>
    <row r="284">
      <c r="C284" s="61"/>
      <c r="H284" s="61"/>
      <c r="I284" s="61"/>
      <c r="J284" s="61"/>
      <c r="K284" s="61"/>
    </row>
    <row r="285">
      <c r="C285" s="61"/>
      <c r="H285" s="61"/>
      <c r="I285" s="61"/>
      <c r="J285" s="61"/>
      <c r="K285" s="61"/>
    </row>
    <row r="286">
      <c r="C286" s="61"/>
      <c r="H286" s="61"/>
      <c r="I286" s="61"/>
      <c r="J286" s="61"/>
      <c r="K286" s="61"/>
    </row>
    <row r="287">
      <c r="C287" s="61"/>
      <c r="H287" s="61"/>
      <c r="I287" s="61"/>
      <c r="J287" s="61"/>
      <c r="K287" s="61"/>
    </row>
    <row r="288">
      <c r="C288" s="61"/>
      <c r="H288" s="61"/>
      <c r="I288" s="61"/>
      <c r="J288" s="61"/>
      <c r="K288" s="61"/>
    </row>
    <row r="289">
      <c r="C289" s="61"/>
      <c r="H289" s="61"/>
      <c r="I289" s="61"/>
      <c r="J289" s="61"/>
      <c r="K289" s="61"/>
    </row>
    <row r="290">
      <c r="C290" s="61"/>
      <c r="H290" s="61"/>
      <c r="I290" s="61"/>
      <c r="J290" s="61"/>
      <c r="K290" s="61"/>
    </row>
    <row r="291">
      <c r="C291" s="61"/>
      <c r="H291" s="61"/>
      <c r="I291" s="61"/>
      <c r="J291" s="61"/>
      <c r="K291" s="61"/>
    </row>
    <row r="292">
      <c r="C292" s="61"/>
      <c r="H292" s="61"/>
      <c r="I292" s="61"/>
      <c r="J292" s="61"/>
      <c r="K292" s="61"/>
    </row>
    <row r="293">
      <c r="C293" s="61"/>
      <c r="H293" s="61"/>
      <c r="I293" s="61"/>
      <c r="J293" s="61"/>
      <c r="K293" s="61"/>
    </row>
    <row r="294">
      <c r="C294" s="61"/>
      <c r="H294" s="61"/>
      <c r="I294" s="61"/>
      <c r="J294" s="61"/>
      <c r="K294" s="61"/>
    </row>
    <row r="295">
      <c r="C295" s="61"/>
      <c r="H295" s="61"/>
      <c r="I295" s="61"/>
      <c r="J295" s="61"/>
      <c r="K295" s="61"/>
    </row>
    <row r="296">
      <c r="C296" s="61"/>
      <c r="H296" s="61"/>
      <c r="I296" s="61"/>
      <c r="J296" s="61"/>
      <c r="K296" s="61"/>
    </row>
    <row r="297">
      <c r="C297" s="61"/>
      <c r="H297" s="61"/>
      <c r="I297" s="61"/>
      <c r="J297" s="61"/>
      <c r="K297" s="61"/>
    </row>
    <row r="298">
      <c r="C298" s="61"/>
      <c r="H298" s="61"/>
      <c r="I298" s="61"/>
      <c r="J298" s="61"/>
      <c r="K298" s="61"/>
    </row>
    <row r="299">
      <c r="C299" s="61"/>
      <c r="H299" s="61"/>
      <c r="I299" s="61"/>
      <c r="J299" s="61"/>
      <c r="K299" s="61"/>
    </row>
    <row r="300">
      <c r="C300" s="61"/>
      <c r="H300" s="61"/>
      <c r="I300" s="61"/>
      <c r="J300" s="61"/>
      <c r="K300" s="61"/>
    </row>
    <row r="301">
      <c r="C301" s="61"/>
      <c r="H301" s="61"/>
      <c r="I301" s="61"/>
      <c r="J301" s="61"/>
      <c r="K301" s="61"/>
    </row>
    <row r="302">
      <c r="C302" s="61"/>
      <c r="H302" s="61"/>
      <c r="I302" s="61"/>
      <c r="J302" s="61"/>
      <c r="K302" s="61"/>
    </row>
    <row r="303">
      <c r="C303" s="61"/>
      <c r="H303" s="61"/>
      <c r="I303" s="61"/>
      <c r="J303" s="61"/>
      <c r="K303" s="61"/>
    </row>
    <row r="304">
      <c r="C304" s="61"/>
      <c r="H304" s="61"/>
      <c r="I304" s="61"/>
      <c r="J304" s="61"/>
      <c r="K304" s="61"/>
    </row>
    <row r="305">
      <c r="C305" s="61"/>
      <c r="H305" s="61"/>
      <c r="I305" s="61"/>
      <c r="J305" s="61"/>
      <c r="K305" s="61"/>
    </row>
    <row r="306">
      <c r="C306" s="61"/>
      <c r="H306" s="61"/>
      <c r="I306" s="61"/>
      <c r="J306" s="61"/>
      <c r="K306" s="61"/>
    </row>
    <row r="307">
      <c r="C307" s="61"/>
      <c r="H307" s="61"/>
      <c r="I307" s="61"/>
      <c r="J307" s="61"/>
      <c r="K307" s="61"/>
    </row>
    <row r="308">
      <c r="C308" s="61"/>
      <c r="H308" s="61"/>
      <c r="I308" s="61"/>
      <c r="J308" s="61"/>
      <c r="K308" s="61"/>
    </row>
    <row r="309">
      <c r="C309" s="61"/>
      <c r="H309" s="61"/>
      <c r="I309" s="61"/>
      <c r="J309" s="61"/>
      <c r="K309" s="61"/>
    </row>
    <row r="310">
      <c r="C310" s="61"/>
      <c r="H310" s="61"/>
      <c r="I310" s="61"/>
      <c r="J310" s="61"/>
      <c r="K310" s="61"/>
    </row>
    <row r="311">
      <c r="C311" s="61"/>
      <c r="H311" s="61"/>
      <c r="I311" s="61"/>
      <c r="J311" s="61"/>
      <c r="K311" s="61"/>
    </row>
    <row r="312">
      <c r="C312" s="61"/>
      <c r="H312" s="61"/>
      <c r="I312" s="61"/>
      <c r="J312" s="61"/>
      <c r="K312" s="61"/>
    </row>
    <row r="313">
      <c r="C313" s="61"/>
      <c r="H313" s="61"/>
      <c r="I313" s="61"/>
      <c r="J313" s="61"/>
      <c r="K313" s="61"/>
    </row>
    <row r="314">
      <c r="C314" s="61"/>
      <c r="H314" s="61"/>
      <c r="I314" s="61"/>
      <c r="J314" s="61"/>
      <c r="K314" s="61"/>
    </row>
    <row r="315">
      <c r="C315" s="61"/>
      <c r="H315" s="61"/>
      <c r="I315" s="61"/>
      <c r="J315" s="61"/>
      <c r="K315" s="61"/>
    </row>
    <row r="316">
      <c r="C316" s="61"/>
      <c r="H316" s="61"/>
      <c r="I316" s="61"/>
      <c r="J316" s="61"/>
      <c r="K316" s="61"/>
    </row>
    <row r="317">
      <c r="C317" s="61"/>
      <c r="H317" s="61"/>
      <c r="I317" s="61"/>
      <c r="J317" s="61"/>
      <c r="K317" s="61"/>
    </row>
    <row r="318">
      <c r="C318" s="61"/>
      <c r="H318" s="61"/>
      <c r="I318" s="61"/>
      <c r="J318" s="61"/>
      <c r="K318" s="61"/>
    </row>
    <row r="319">
      <c r="C319" s="61"/>
      <c r="H319" s="61"/>
      <c r="I319" s="61"/>
      <c r="J319" s="61"/>
      <c r="K319" s="61"/>
    </row>
    <row r="320">
      <c r="C320" s="61"/>
      <c r="H320" s="61"/>
      <c r="I320" s="61"/>
      <c r="J320" s="61"/>
      <c r="K320" s="61"/>
    </row>
    <row r="321">
      <c r="C321" s="61"/>
      <c r="H321" s="61"/>
      <c r="I321" s="61"/>
      <c r="J321" s="61"/>
      <c r="K321" s="61"/>
    </row>
    <row r="322">
      <c r="C322" s="61"/>
      <c r="H322" s="61"/>
      <c r="I322" s="61"/>
      <c r="J322" s="61"/>
      <c r="K322" s="61"/>
    </row>
    <row r="323">
      <c r="C323" s="61"/>
      <c r="H323" s="61"/>
      <c r="I323" s="61"/>
      <c r="J323" s="61"/>
      <c r="K323" s="61"/>
    </row>
    <row r="324">
      <c r="C324" s="61"/>
      <c r="H324" s="61"/>
      <c r="I324" s="61"/>
      <c r="J324" s="61"/>
      <c r="K324" s="61"/>
    </row>
    <row r="325">
      <c r="C325" s="61"/>
      <c r="H325" s="61"/>
      <c r="I325" s="61"/>
      <c r="J325" s="61"/>
      <c r="K325" s="61"/>
    </row>
    <row r="326">
      <c r="C326" s="61"/>
      <c r="H326" s="61"/>
      <c r="I326" s="61"/>
      <c r="J326" s="61"/>
      <c r="K326" s="61"/>
    </row>
    <row r="327">
      <c r="C327" s="61"/>
      <c r="H327" s="61"/>
      <c r="I327" s="61"/>
      <c r="J327" s="61"/>
      <c r="K327" s="61"/>
    </row>
    <row r="328">
      <c r="C328" s="61"/>
      <c r="H328" s="61"/>
      <c r="I328" s="61"/>
      <c r="J328" s="61"/>
      <c r="K328" s="61"/>
    </row>
    <row r="329">
      <c r="C329" s="61"/>
      <c r="H329" s="61"/>
      <c r="I329" s="61"/>
      <c r="J329" s="61"/>
      <c r="K329" s="61"/>
    </row>
    <row r="330">
      <c r="C330" s="61"/>
      <c r="H330" s="61"/>
      <c r="I330" s="61"/>
      <c r="J330" s="61"/>
      <c r="K330" s="61"/>
    </row>
    <row r="331">
      <c r="C331" s="61"/>
      <c r="H331" s="61"/>
      <c r="I331" s="61"/>
      <c r="J331" s="61"/>
      <c r="K331" s="61"/>
    </row>
    <row r="332">
      <c r="C332" s="61"/>
      <c r="H332" s="61"/>
      <c r="I332" s="61"/>
      <c r="J332" s="61"/>
      <c r="K332" s="61"/>
    </row>
    <row r="333">
      <c r="C333" s="61"/>
      <c r="H333" s="61"/>
      <c r="I333" s="61"/>
      <c r="J333" s="61"/>
      <c r="K333" s="61"/>
    </row>
    <row r="334">
      <c r="C334" s="61"/>
      <c r="H334" s="61"/>
      <c r="I334" s="61"/>
      <c r="J334" s="61"/>
      <c r="K334" s="61"/>
    </row>
    <row r="335">
      <c r="C335" s="61"/>
      <c r="H335" s="61"/>
      <c r="I335" s="61"/>
      <c r="J335" s="61"/>
      <c r="K335" s="61"/>
    </row>
    <row r="336">
      <c r="C336" s="61"/>
      <c r="H336" s="61"/>
      <c r="I336" s="61"/>
      <c r="J336" s="61"/>
      <c r="K336" s="61"/>
    </row>
    <row r="337">
      <c r="C337" s="61"/>
      <c r="H337" s="61"/>
      <c r="I337" s="61"/>
      <c r="J337" s="61"/>
      <c r="K337" s="61"/>
    </row>
    <row r="338">
      <c r="C338" s="61"/>
      <c r="H338" s="61"/>
      <c r="I338" s="61"/>
      <c r="J338" s="61"/>
      <c r="K338" s="61"/>
    </row>
    <row r="339">
      <c r="C339" s="61"/>
      <c r="H339" s="61"/>
      <c r="I339" s="61"/>
      <c r="J339" s="61"/>
      <c r="K339" s="61"/>
    </row>
    <row r="340">
      <c r="C340" s="61"/>
      <c r="H340" s="61"/>
      <c r="I340" s="61"/>
      <c r="J340" s="61"/>
      <c r="K340" s="61"/>
    </row>
    <row r="341">
      <c r="C341" s="61"/>
      <c r="H341" s="61"/>
      <c r="I341" s="61"/>
      <c r="J341" s="61"/>
      <c r="K341" s="61"/>
    </row>
    <row r="342">
      <c r="C342" s="61"/>
      <c r="H342" s="61"/>
      <c r="I342" s="61"/>
      <c r="J342" s="61"/>
      <c r="K342" s="61"/>
    </row>
    <row r="343">
      <c r="C343" s="61"/>
      <c r="H343" s="61"/>
      <c r="I343" s="61"/>
      <c r="J343" s="61"/>
      <c r="K343" s="61"/>
    </row>
    <row r="344">
      <c r="C344" s="61"/>
      <c r="H344" s="61"/>
      <c r="I344" s="61"/>
      <c r="J344" s="61"/>
      <c r="K344" s="61"/>
    </row>
    <row r="345">
      <c r="C345" s="61"/>
      <c r="H345" s="61"/>
      <c r="I345" s="61"/>
      <c r="J345" s="61"/>
      <c r="K345" s="61"/>
    </row>
    <row r="346">
      <c r="C346" s="61"/>
      <c r="H346" s="61"/>
      <c r="I346" s="61"/>
      <c r="J346" s="61"/>
      <c r="K346" s="61"/>
    </row>
    <row r="347">
      <c r="C347" s="61"/>
      <c r="H347" s="61"/>
      <c r="I347" s="61"/>
      <c r="J347" s="61"/>
      <c r="K347" s="61"/>
    </row>
    <row r="348">
      <c r="C348" s="61"/>
      <c r="H348" s="61"/>
      <c r="I348" s="61"/>
      <c r="J348" s="61"/>
      <c r="K348" s="61"/>
    </row>
    <row r="349">
      <c r="C349" s="61"/>
      <c r="H349" s="61"/>
      <c r="I349" s="61"/>
      <c r="J349" s="61"/>
      <c r="K349" s="61"/>
    </row>
    <row r="350">
      <c r="C350" s="61"/>
      <c r="H350" s="61"/>
      <c r="I350" s="61"/>
      <c r="J350" s="61"/>
      <c r="K350" s="61"/>
    </row>
    <row r="351">
      <c r="C351" s="61"/>
      <c r="H351" s="61"/>
      <c r="I351" s="61"/>
      <c r="J351" s="61"/>
      <c r="K351" s="61"/>
    </row>
    <row r="352">
      <c r="C352" s="61"/>
      <c r="H352" s="61"/>
      <c r="I352" s="61"/>
      <c r="J352" s="61"/>
      <c r="K352" s="61"/>
    </row>
    <row r="353">
      <c r="C353" s="61"/>
      <c r="H353" s="61"/>
      <c r="I353" s="61"/>
      <c r="J353" s="61"/>
      <c r="K353" s="61"/>
    </row>
    <row r="354">
      <c r="C354" s="61"/>
      <c r="H354" s="61"/>
      <c r="I354" s="61"/>
      <c r="J354" s="61"/>
      <c r="K354" s="61"/>
    </row>
    <row r="355">
      <c r="C355" s="61"/>
      <c r="H355" s="61"/>
      <c r="I355" s="61"/>
      <c r="J355" s="61"/>
      <c r="K355" s="61"/>
    </row>
    <row r="356">
      <c r="C356" s="61"/>
      <c r="H356" s="61"/>
      <c r="I356" s="61"/>
      <c r="J356" s="61"/>
      <c r="K356" s="61"/>
    </row>
    <row r="357">
      <c r="C357" s="61"/>
      <c r="H357" s="61"/>
      <c r="I357" s="61"/>
      <c r="J357" s="61"/>
      <c r="K357" s="61"/>
    </row>
    <row r="358">
      <c r="C358" s="61"/>
      <c r="H358" s="61"/>
      <c r="I358" s="61"/>
      <c r="J358" s="61"/>
      <c r="K358" s="61"/>
    </row>
    <row r="359">
      <c r="C359" s="61"/>
      <c r="H359" s="61"/>
      <c r="I359" s="61"/>
      <c r="J359" s="61"/>
      <c r="K359" s="61"/>
    </row>
    <row r="360">
      <c r="C360" s="61"/>
      <c r="H360" s="61"/>
      <c r="I360" s="61"/>
      <c r="J360" s="61"/>
      <c r="K360" s="61"/>
    </row>
    <row r="361">
      <c r="C361" s="61"/>
      <c r="H361" s="61"/>
      <c r="I361" s="61"/>
      <c r="J361" s="61"/>
      <c r="K361" s="61"/>
    </row>
    <row r="362">
      <c r="C362" s="61"/>
      <c r="H362" s="61"/>
      <c r="I362" s="61"/>
      <c r="J362" s="61"/>
      <c r="K362" s="61"/>
    </row>
    <row r="363">
      <c r="C363" s="61"/>
      <c r="H363" s="61"/>
      <c r="I363" s="61"/>
      <c r="J363" s="61"/>
      <c r="K363" s="61"/>
    </row>
    <row r="364">
      <c r="C364" s="61"/>
      <c r="H364" s="61"/>
      <c r="I364" s="61"/>
      <c r="J364" s="61"/>
      <c r="K364" s="61"/>
    </row>
    <row r="365">
      <c r="C365" s="61"/>
      <c r="H365" s="61"/>
      <c r="I365" s="61"/>
      <c r="J365" s="61"/>
      <c r="K365" s="61"/>
    </row>
    <row r="366">
      <c r="C366" s="61"/>
      <c r="H366" s="61"/>
      <c r="I366" s="61"/>
      <c r="J366" s="61"/>
      <c r="K366" s="61"/>
    </row>
    <row r="367">
      <c r="C367" s="61"/>
      <c r="H367" s="61"/>
      <c r="I367" s="61"/>
      <c r="J367" s="61"/>
      <c r="K367" s="61"/>
    </row>
    <row r="368">
      <c r="C368" s="61"/>
      <c r="H368" s="61"/>
      <c r="I368" s="61"/>
      <c r="J368" s="61"/>
      <c r="K368" s="61"/>
    </row>
    <row r="369">
      <c r="C369" s="61"/>
      <c r="H369" s="61"/>
      <c r="I369" s="61"/>
      <c r="J369" s="61"/>
      <c r="K369" s="61"/>
    </row>
    <row r="370">
      <c r="C370" s="61"/>
      <c r="H370" s="61"/>
      <c r="I370" s="61"/>
      <c r="J370" s="61"/>
      <c r="K370" s="61"/>
    </row>
    <row r="371">
      <c r="C371" s="61"/>
      <c r="H371" s="61"/>
      <c r="I371" s="61"/>
      <c r="J371" s="61"/>
      <c r="K371" s="61"/>
    </row>
    <row r="372">
      <c r="C372" s="61"/>
      <c r="H372" s="61"/>
      <c r="I372" s="61"/>
      <c r="J372" s="61"/>
      <c r="K372" s="61"/>
    </row>
    <row r="373">
      <c r="C373" s="61"/>
      <c r="H373" s="61"/>
      <c r="I373" s="61"/>
      <c r="J373" s="61"/>
      <c r="K373" s="61"/>
    </row>
    <row r="374">
      <c r="C374" s="61"/>
      <c r="H374" s="61"/>
      <c r="I374" s="61"/>
      <c r="J374" s="61"/>
      <c r="K374" s="61"/>
    </row>
    <row r="375">
      <c r="C375" s="61"/>
      <c r="H375" s="61"/>
      <c r="I375" s="61"/>
      <c r="J375" s="61"/>
      <c r="K375" s="61"/>
    </row>
    <row r="376">
      <c r="C376" s="61"/>
      <c r="H376" s="61"/>
      <c r="I376" s="61"/>
      <c r="J376" s="61"/>
      <c r="K376" s="61"/>
    </row>
    <row r="377">
      <c r="C377" s="61"/>
      <c r="H377" s="61"/>
      <c r="I377" s="61"/>
      <c r="J377" s="61"/>
      <c r="K377" s="61"/>
    </row>
    <row r="378">
      <c r="C378" s="61"/>
      <c r="H378" s="61"/>
      <c r="I378" s="61"/>
      <c r="J378" s="61"/>
      <c r="K378" s="61"/>
    </row>
    <row r="379">
      <c r="C379" s="61"/>
      <c r="H379" s="61"/>
      <c r="I379" s="61"/>
      <c r="J379" s="61"/>
      <c r="K379" s="61"/>
    </row>
    <row r="380">
      <c r="C380" s="61"/>
      <c r="H380" s="61"/>
      <c r="I380" s="61"/>
      <c r="J380" s="61"/>
      <c r="K380" s="61"/>
    </row>
    <row r="381">
      <c r="C381" s="61"/>
      <c r="H381" s="61"/>
      <c r="I381" s="61"/>
      <c r="J381" s="61"/>
      <c r="K381" s="61"/>
    </row>
    <row r="382">
      <c r="C382" s="61"/>
      <c r="H382" s="61"/>
      <c r="I382" s="61"/>
      <c r="J382" s="61"/>
      <c r="K382" s="61"/>
    </row>
    <row r="383">
      <c r="C383" s="61"/>
      <c r="H383" s="61"/>
      <c r="I383" s="61"/>
      <c r="J383" s="61"/>
      <c r="K383" s="61"/>
    </row>
    <row r="384">
      <c r="C384" s="61"/>
      <c r="H384" s="61"/>
      <c r="I384" s="61"/>
      <c r="J384" s="61"/>
      <c r="K384" s="61"/>
    </row>
    <row r="385">
      <c r="C385" s="61"/>
      <c r="H385" s="61"/>
      <c r="I385" s="61"/>
      <c r="J385" s="61"/>
      <c r="K385" s="61"/>
    </row>
    <row r="386">
      <c r="C386" s="61"/>
      <c r="H386" s="61"/>
      <c r="I386" s="61"/>
      <c r="J386" s="61"/>
      <c r="K386" s="61"/>
    </row>
    <row r="387">
      <c r="C387" s="61"/>
      <c r="H387" s="61"/>
      <c r="I387" s="61"/>
      <c r="J387" s="61"/>
      <c r="K387" s="61"/>
    </row>
    <row r="388">
      <c r="C388" s="61"/>
      <c r="H388" s="61"/>
      <c r="I388" s="61"/>
      <c r="J388" s="61"/>
      <c r="K388" s="61"/>
    </row>
    <row r="389">
      <c r="C389" s="61"/>
      <c r="H389" s="61"/>
      <c r="I389" s="61"/>
      <c r="J389" s="61"/>
      <c r="K389" s="61"/>
    </row>
    <row r="390">
      <c r="C390" s="61"/>
      <c r="H390" s="61"/>
      <c r="I390" s="61"/>
      <c r="J390" s="61"/>
      <c r="K390" s="61"/>
    </row>
    <row r="391">
      <c r="C391" s="61"/>
      <c r="H391" s="61"/>
      <c r="I391" s="61"/>
      <c r="J391" s="61"/>
      <c r="K391" s="61"/>
    </row>
    <row r="392">
      <c r="C392" s="61"/>
      <c r="H392" s="61"/>
      <c r="I392" s="61"/>
      <c r="J392" s="61"/>
      <c r="K392" s="61"/>
    </row>
    <row r="393">
      <c r="C393" s="61"/>
      <c r="H393" s="61"/>
      <c r="I393" s="61"/>
      <c r="J393" s="61"/>
      <c r="K393" s="61"/>
    </row>
    <row r="394">
      <c r="C394" s="61"/>
      <c r="H394" s="61"/>
      <c r="I394" s="61"/>
      <c r="J394" s="61"/>
      <c r="K394" s="61"/>
    </row>
    <row r="395">
      <c r="C395" s="61"/>
      <c r="H395" s="61"/>
      <c r="I395" s="61"/>
      <c r="J395" s="61"/>
      <c r="K395" s="61"/>
    </row>
    <row r="396">
      <c r="C396" s="61"/>
      <c r="H396" s="61"/>
      <c r="I396" s="61"/>
      <c r="J396" s="61"/>
      <c r="K396" s="61"/>
    </row>
    <row r="397">
      <c r="C397" s="61"/>
      <c r="H397" s="61"/>
      <c r="I397" s="61"/>
      <c r="J397" s="61"/>
      <c r="K397" s="61"/>
    </row>
    <row r="398">
      <c r="C398" s="61"/>
      <c r="H398" s="61"/>
      <c r="I398" s="61"/>
      <c r="J398" s="61"/>
      <c r="K398" s="61"/>
    </row>
    <row r="399">
      <c r="C399" s="61"/>
      <c r="H399" s="61"/>
      <c r="I399" s="61"/>
      <c r="J399" s="61"/>
      <c r="K399" s="61"/>
    </row>
    <row r="400">
      <c r="C400" s="61"/>
      <c r="H400" s="61"/>
      <c r="I400" s="61"/>
      <c r="J400" s="61"/>
      <c r="K400" s="61"/>
    </row>
    <row r="401">
      <c r="C401" s="61"/>
      <c r="H401" s="61"/>
      <c r="I401" s="61"/>
      <c r="J401" s="61"/>
      <c r="K401" s="61"/>
    </row>
    <row r="402">
      <c r="C402" s="61"/>
      <c r="H402" s="61"/>
      <c r="I402" s="61"/>
      <c r="J402" s="61"/>
      <c r="K402" s="61"/>
    </row>
    <row r="403">
      <c r="C403" s="61"/>
      <c r="H403" s="61"/>
      <c r="I403" s="61"/>
      <c r="J403" s="61"/>
      <c r="K403" s="61"/>
    </row>
    <row r="404">
      <c r="C404" s="61"/>
      <c r="H404" s="61"/>
      <c r="I404" s="61"/>
      <c r="J404" s="61"/>
      <c r="K404" s="61"/>
    </row>
    <row r="405">
      <c r="C405" s="61"/>
      <c r="H405" s="61"/>
      <c r="I405" s="61"/>
      <c r="J405" s="61"/>
      <c r="K405" s="61"/>
    </row>
    <row r="406">
      <c r="C406" s="61"/>
      <c r="H406" s="61"/>
      <c r="I406" s="61"/>
      <c r="J406" s="61"/>
      <c r="K406" s="61"/>
    </row>
    <row r="407">
      <c r="C407" s="61"/>
      <c r="H407" s="61"/>
      <c r="I407" s="61"/>
      <c r="J407" s="61"/>
      <c r="K407" s="61"/>
    </row>
    <row r="408">
      <c r="C408" s="61"/>
      <c r="H408" s="61"/>
      <c r="I408" s="61"/>
      <c r="J408" s="61"/>
      <c r="K408" s="61"/>
    </row>
    <row r="409">
      <c r="C409" s="61"/>
      <c r="H409" s="61"/>
      <c r="I409" s="61"/>
      <c r="J409" s="61"/>
      <c r="K409" s="61"/>
    </row>
    <row r="410">
      <c r="C410" s="61"/>
      <c r="H410" s="61"/>
      <c r="I410" s="61"/>
      <c r="J410" s="61"/>
      <c r="K410" s="61"/>
    </row>
    <row r="411">
      <c r="C411" s="61"/>
      <c r="H411" s="61"/>
      <c r="I411" s="61"/>
      <c r="J411" s="61"/>
      <c r="K411" s="61"/>
    </row>
    <row r="412">
      <c r="C412" s="61"/>
      <c r="H412" s="61"/>
      <c r="I412" s="61"/>
      <c r="J412" s="61"/>
      <c r="K412" s="61"/>
    </row>
    <row r="413">
      <c r="C413" s="61"/>
      <c r="H413" s="61"/>
      <c r="I413" s="61"/>
      <c r="J413" s="61"/>
      <c r="K413" s="61"/>
    </row>
    <row r="414">
      <c r="C414" s="61"/>
      <c r="H414" s="61"/>
      <c r="I414" s="61"/>
      <c r="J414" s="61"/>
      <c r="K414" s="61"/>
    </row>
    <row r="415">
      <c r="C415" s="61"/>
      <c r="H415" s="61"/>
      <c r="I415" s="61"/>
      <c r="J415" s="61"/>
      <c r="K415" s="61"/>
    </row>
    <row r="416">
      <c r="C416" s="61"/>
      <c r="H416" s="61"/>
      <c r="I416" s="61"/>
      <c r="J416" s="61"/>
      <c r="K416" s="61"/>
    </row>
    <row r="417">
      <c r="C417" s="61"/>
      <c r="H417" s="61"/>
      <c r="I417" s="61"/>
      <c r="J417" s="61"/>
      <c r="K417" s="61"/>
    </row>
    <row r="418">
      <c r="C418" s="61"/>
      <c r="H418" s="61"/>
      <c r="I418" s="61"/>
      <c r="J418" s="61"/>
      <c r="K418" s="61"/>
    </row>
    <row r="419">
      <c r="C419" s="61"/>
      <c r="H419" s="61"/>
      <c r="I419" s="61"/>
      <c r="J419" s="61"/>
      <c r="K419" s="61"/>
    </row>
    <row r="420">
      <c r="C420" s="61"/>
      <c r="H420" s="61"/>
      <c r="I420" s="61"/>
      <c r="J420" s="61"/>
      <c r="K420" s="61"/>
    </row>
    <row r="421">
      <c r="C421" s="61"/>
      <c r="H421" s="61"/>
      <c r="I421" s="61"/>
      <c r="J421" s="61"/>
      <c r="K421" s="61"/>
    </row>
    <row r="422">
      <c r="C422" s="61"/>
      <c r="H422" s="61"/>
      <c r="I422" s="61"/>
      <c r="J422" s="61"/>
      <c r="K422" s="61"/>
    </row>
    <row r="423">
      <c r="C423" s="61"/>
      <c r="H423" s="61"/>
      <c r="I423" s="61"/>
      <c r="J423" s="61"/>
      <c r="K423" s="61"/>
    </row>
    <row r="424">
      <c r="C424" s="61"/>
      <c r="H424" s="61"/>
      <c r="I424" s="61"/>
      <c r="J424" s="61"/>
      <c r="K424" s="61"/>
    </row>
    <row r="425">
      <c r="C425" s="61"/>
      <c r="H425" s="61"/>
      <c r="I425" s="61"/>
      <c r="J425" s="61"/>
      <c r="K425" s="61"/>
    </row>
    <row r="426">
      <c r="C426" s="61"/>
      <c r="H426" s="61"/>
      <c r="I426" s="61"/>
      <c r="J426" s="61"/>
      <c r="K426" s="61"/>
    </row>
    <row r="427">
      <c r="C427" s="61"/>
      <c r="H427" s="61"/>
      <c r="I427" s="61"/>
      <c r="J427" s="61"/>
      <c r="K427" s="61"/>
    </row>
    <row r="428">
      <c r="C428" s="61"/>
      <c r="H428" s="61"/>
      <c r="I428" s="61"/>
      <c r="J428" s="61"/>
      <c r="K428" s="61"/>
    </row>
    <row r="429">
      <c r="C429" s="61"/>
      <c r="H429" s="61"/>
      <c r="I429" s="61"/>
      <c r="J429" s="61"/>
      <c r="K429" s="61"/>
    </row>
    <row r="430">
      <c r="C430" s="61"/>
      <c r="H430" s="61"/>
      <c r="I430" s="61"/>
      <c r="J430" s="61"/>
      <c r="K430" s="61"/>
    </row>
    <row r="431">
      <c r="C431" s="61"/>
      <c r="H431" s="61"/>
      <c r="I431" s="61"/>
      <c r="J431" s="61"/>
      <c r="K431" s="61"/>
    </row>
    <row r="432">
      <c r="C432" s="61"/>
      <c r="H432" s="61"/>
      <c r="I432" s="61"/>
      <c r="J432" s="61"/>
      <c r="K432" s="61"/>
    </row>
    <row r="433">
      <c r="C433" s="61"/>
      <c r="H433" s="61"/>
      <c r="I433" s="61"/>
      <c r="J433" s="61"/>
      <c r="K433" s="61"/>
    </row>
    <row r="434">
      <c r="C434" s="61"/>
      <c r="H434" s="61"/>
      <c r="I434" s="61"/>
      <c r="J434" s="61"/>
      <c r="K434" s="61"/>
    </row>
    <row r="435">
      <c r="C435" s="61"/>
      <c r="H435" s="61"/>
      <c r="I435" s="61"/>
      <c r="J435" s="61"/>
      <c r="K435" s="61"/>
    </row>
    <row r="436">
      <c r="C436" s="61"/>
      <c r="H436" s="61"/>
      <c r="I436" s="61"/>
      <c r="J436" s="61"/>
      <c r="K436" s="61"/>
    </row>
    <row r="437">
      <c r="C437" s="61"/>
      <c r="H437" s="61"/>
      <c r="I437" s="61"/>
      <c r="J437" s="61"/>
      <c r="K437" s="61"/>
    </row>
    <row r="438">
      <c r="C438" s="61"/>
      <c r="H438" s="61"/>
      <c r="I438" s="61"/>
      <c r="J438" s="61"/>
      <c r="K438" s="61"/>
    </row>
    <row r="439">
      <c r="C439" s="61"/>
      <c r="H439" s="61"/>
      <c r="I439" s="61"/>
      <c r="J439" s="61"/>
      <c r="K439" s="61"/>
    </row>
    <row r="440">
      <c r="C440" s="61"/>
      <c r="H440" s="61"/>
      <c r="I440" s="61"/>
      <c r="J440" s="61"/>
      <c r="K440" s="61"/>
    </row>
    <row r="441">
      <c r="C441" s="61"/>
      <c r="H441" s="61"/>
      <c r="I441" s="61"/>
      <c r="J441" s="61"/>
      <c r="K441" s="61"/>
    </row>
    <row r="442">
      <c r="C442" s="61"/>
      <c r="H442" s="61"/>
      <c r="I442" s="61"/>
      <c r="J442" s="61"/>
      <c r="K442" s="61"/>
    </row>
    <row r="443">
      <c r="C443" s="61"/>
      <c r="H443" s="61"/>
      <c r="I443" s="61"/>
      <c r="J443" s="61"/>
      <c r="K443" s="61"/>
    </row>
    <row r="444">
      <c r="C444" s="61"/>
      <c r="H444" s="61"/>
      <c r="I444" s="61"/>
      <c r="J444" s="61"/>
      <c r="K444" s="61"/>
    </row>
    <row r="445">
      <c r="C445" s="61"/>
      <c r="H445" s="61"/>
      <c r="I445" s="61"/>
      <c r="J445" s="61"/>
      <c r="K445" s="61"/>
    </row>
    <row r="446">
      <c r="C446" s="61"/>
      <c r="H446" s="61"/>
      <c r="I446" s="61"/>
      <c r="J446" s="61"/>
      <c r="K446" s="61"/>
    </row>
    <row r="447">
      <c r="C447" s="61"/>
      <c r="H447" s="61"/>
      <c r="I447" s="61"/>
      <c r="J447" s="61"/>
      <c r="K447" s="61"/>
    </row>
    <row r="448">
      <c r="C448" s="61"/>
      <c r="H448" s="61"/>
      <c r="I448" s="61"/>
      <c r="J448" s="61"/>
      <c r="K448" s="61"/>
    </row>
    <row r="449">
      <c r="C449" s="61"/>
      <c r="H449" s="61"/>
      <c r="I449" s="61"/>
      <c r="J449" s="61"/>
      <c r="K449" s="61"/>
    </row>
    <row r="450">
      <c r="C450" s="61"/>
      <c r="H450" s="61"/>
      <c r="I450" s="61"/>
      <c r="J450" s="61"/>
      <c r="K450" s="61"/>
    </row>
    <row r="451">
      <c r="C451" s="61"/>
      <c r="H451" s="61"/>
      <c r="I451" s="61"/>
      <c r="J451" s="61"/>
      <c r="K451" s="61"/>
    </row>
    <row r="452">
      <c r="C452" s="61"/>
      <c r="H452" s="61"/>
      <c r="I452" s="61"/>
      <c r="J452" s="61"/>
      <c r="K452" s="61"/>
    </row>
    <row r="453">
      <c r="C453" s="61"/>
      <c r="H453" s="61"/>
      <c r="I453" s="61"/>
      <c r="J453" s="61"/>
      <c r="K453" s="61"/>
    </row>
    <row r="454">
      <c r="C454" s="61"/>
      <c r="H454" s="61"/>
      <c r="I454" s="61"/>
      <c r="J454" s="61"/>
      <c r="K454" s="61"/>
    </row>
    <row r="455">
      <c r="C455" s="61"/>
      <c r="H455" s="61"/>
      <c r="I455" s="61"/>
      <c r="J455" s="61"/>
      <c r="K455" s="61"/>
    </row>
    <row r="456">
      <c r="C456" s="61"/>
      <c r="H456" s="61"/>
      <c r="I456" s="61"/>
      <c r="J456" s="61"/>
      <c r="K456" s="61"/>
    </row>
    <row r="457">
      <c r="C457" s="61"/>
      <c r="H457" s="61"/>
      <c r="I457" s="61"/>
      <c r="J457" s="61"/>
      <c r="K457" s="61"/>
    </row>
    <row r="458">
      <c r="C458" s="61"/>
      <c r="H458" s="61"/>
      <c r="I458" s="61"/>
      <c r="J458" s="61"/>
      <c r="K458" s="61"/>
    </row>
    <row r="459">
      <c r="C459" s="61"/>
      <c r="H459" s="61"/>
      <c r="I459" s="61"/>
      <c r="J459" s="61"/>
      <c r="K459" s="61"/>
    </row>
    <row r="460">
      <c r="C460" s="61"/>
      <c r="H460" s="61"/>
      <c r="I460" s="61"/>
      <c r="J460" s="61"/>
      <c r="K460" s="61"/>
    </row>
    <row r="461">
      <c r="C461" s="61"/>
      <c r="H461" s="61"/>
      <c r="I461" s="61"/>
      <c r="J461" s="61"/>
      <c r="K461" s="61"/>
    </row>
    <row r="462">
      <c r="C462" s="61"/>
      <c r="H462" s="61"/>
      <c r="I462" s="61"/>
      <c r="J462" s="61"/>
      <c r="K462" s="61"/>
    </row>
    <row r="463">
      <c r="C463" s="61"/>
      <c r="H463" s="61"/>
      <c r="I463" s="61"/>
      <c r="J463" s="61"/>
      <c r="K463" s="61"/>
    </row>
    <row r="464">
      <c r="C464" s="61"/>
      <c r="H464" s="61"/>
      <c r="I464" s="61"/>
      <c r="J464" s="61"/>
      <c r="K464" s="61"/>
    </row>
    <row r="465">
      <c r="C465" s="61"/>
      <c r="H465" s="61"/>
      <c r="I465" s="61"/>
      <c r="J465" s="61"/>
      <c r="K465" s="61"/>
    </row>
    <row r="466">
      <c r="C466" s="61"/>
      <c r="H466" s="61"/>
      <c r="I466" s="61"/>
      <c r="J466" s="61"/>
      <c r="K466" s="61"/>
    </row>
    <row r="467">
      <c r="C467" s="61"/>
      <c r="H467" s="61"/>
      <c r="I467" s="61"/>
      <c r="J467" s="61"/>
      <c r="K467" s="61"/>
    </row>
    <row r="468">
      <c r="C468" s="61"/>
      <c r="H468" s="61"/>
      <c r="I468" s="61"/>
      <c r="J468" s="61"/>
      <c r="K468" s="61"/>
    </row>
    <row r="469">
      <c r="C469" s="61"/>
      <c r="H469" s="61"/>
      <c r="I469" s="61"/>
      <c r="J469" s="61"/>
      <c r="K469" s="61"/>
    </row>
    <row r="470">
      <c r="C470" s="61"/>
      <c r="H470" s="61"/>
      <c r="I470" s="61"/>
      <c r="J470" s="61"/>
      <c r="K470" s="61"/>
    </row>
    <row r="471">
      <c r="C471" s="61"/>
      <c r="H471" s="61"/>
      <c r="I471" s="61"/>
      <c r="J471" s="61"/>
      <c r="K471" s="61"/>
    </row>
    <row r="472">
      <c r="C472" s="61"/>
      <c r="H472" s="61"/>
      <c r="I472" s="61"/>
      <c r="J472" s="61"/>
      <c r="K472" s="61"/>
    </row>
    <row r="473">
      <c r="C473" s="61"/>
      <c r="H473" s="61"/>
      <c r="I473" s="61"/>
      <c r="J473" s="61"/>
      <c r="K473" s="61"/>
    </row>
    <row r="474">
      <c r="C474" s="61"/>
      <c r="H474" s="61"/>
      <c r="I474" s="61"/>
      <c r="J474" s="61"/>
      <c r="K474" s="61"/>
    </row>
    <row r="475">
      <c r="C475" s="61"/>
      <c r="H475" s="61"/>
      <c r="I475" s="61"/>
      <c r="J475" s="61"/>
      <c r="K475" s="61"/>
    </row>
    <row r="476">
      <c r="C476" s="61"/>
      <c r="H476" s="61"/>
      <c r="I476" s="61"/>
      <c r="J476" s="61"/>
      <c r="K476" s="61"/>
    </row>
    <row r="477">
      <c r="C477" s="61"/>
      <c r="H477" s="61"/>
      <c r="I477" s="61"/>
      <c r="J477" s="61"/>
      <c r="K477" s="61"/>
    </row>
    <row r="478">
      <c r="C478" s="61"/>
      <c r="H478" s="61"/>
      <c r="I478" s="61"/>
      <c r="J478" s="61"/>
      <c r="K478" s="61"/>
    </row>
    <row r="479">
      <c r="C479" s="61"/>
      <c r="H479" s="61"/>
      <c r="I479" s="61"/>
      <c r="J479" s="61"/>
      <c r="K479" s="61"/>
    </row>
    <row r="480">
      <c r="C480" s="61"/>
      <c r="H480" s="61"/>
      <c r="I480" s="61"/>
      <c r="J480" s="61"/>
      <c r="K480" s="61"/>
    </row>
    <row r="481">
      <c r="C481" s="61"/>
      <c r="H481" s="61"/>
      <c r="I481" s="61"/>
      <c r="J481" s="61"/>
      <c r="K481" s="61"/>
    </row>
    <row r="482">
      <c r="C482" s="61"/>
      <c r="H482" s="61"/>
      <c r="I482" s="61"/>
      <c r="J482" s="61"/>
      <c r="K482" s="61"/>
    </row>
    <row r="483">
      <c r="C483" s="61"/>
      <c r="H483" s="61"/>
      <c r="I483" s="61"/>
      <c r="J483" s="61"/>
      <c r="K483" s="61"/>
    </row>
    <row r="484">
      <c r="C484" s="61"/>
      <c r="H484" s="61"/>
      <c r="I484" s="61"/>
      <c r="J484" s="61"/>
      <c r="K484" s="61"/>
    </row>
    <row r="485">
      <c r="C485" s="61"/>
      <c r="H485" s="61"/>
      <c r="I485" s="61"/>
      <c r="J485" s="61"/>
      <c r="K485" s="61"/>
    </row>
    <row r="486">
      <c r="C486" s="61"/>
      <c r="H486" s="61"/>
      <c r="I486" s="61"/>
      <c r="J486" s="61"/>
      <c r="K486" s="61"/>
    </row>
    <row r="487">
      <c r="C487" s="61"/>
      <c r="H487" s="61"/>
      <c r="I487" s="61"/>
      <c r="J487" s="61"/>
      <c r="K487" s="61"/>
    </row>
    <row r="488">
      <c r="C488" s="61"/>
      <c r="H488" s="61"/>
      <c r="I488" s="61"/>
      <c r="J488" s="61"/>
      <c r="K488" s="61"/>
    </row>
    <row r="489">
      <c r="C489" s="61"/>
      <c r="H489" s="61"/>
      <c r="I489" s="61"/>
      <c r="J489" s="61"/>
      <c r="K489" s="61"/>
    </row>
    <row r="490">
      <c r="C490" s="61"/>
      <c r="H490" s="61"/>
      <c r="I490" s="61"/>
      <c r="J490" s="61"/>
      <c r="K490" s="61"/>
    </row>
    <row r="491">
      <c r="C491" s="61"/>
      <c r="H491" s="61"/>
      <c r="I491" s="61"/>
      <c r="J491" s="61"/>
      <c r="K491" s="61"/>
    </row>
    <row r="492">
      <c r="C492" s="61"/>
      <c r="H492" s="61"/>
      <c r="I492" s="61"/>
      <c r="J492" s="61"/>
      <c r="K492" s="61"/>
    </row>
    <row r="493">
      <c r="C493" s="61"/>
      <c r="H493" s="61"/>
      <c r="I493" s="61"/>
      <c r="J493" s="61"/>
      <c r="K493" s="61"/>
    </row>
    <row r="494">
      <c r="C494" s="61"/>
      <c r="H494" s="61"/>
      <c r="I494" s="61"/>
      <c r="J494" s="61"/>
      <c r="K494" s="61"/>
    </row>
    <row r="495">
      <c r="C495" s="61"/>
      <c r="H495" s="61"/>
      <c r="I495" s="61"/>
      <c r="J495" s="61"/>
      <c r="K495" s="61"/>
    </row>
    <row r="496">
      <c r="C496" s="61"/>
      <c r="H496" s="61"/>
      <c r="I496" s="61"/>
      <c r="J496" s="61"/>
      <c r="K496" s="61"/>
    </row>
    <row r="497">
      <c r="C497" s="61"/>
      <c r="H497" s="61"/>
      <c r="I497" s="61"/>
      <c r="J497" s="61"/>
      <c r="K497" s="61"/>
    </row>
    <row r="498">
      <c r="C498" s="61"/>
      <c r="H498" s="61"/>
      <c r="I498" s="61"/>
      <c r="J498" s="61"/>
      <c r="K498" s="61"/>
    </row>
    <row r="499">
      <c r="C499" s="61"/>
      <c r="H499" s="61"/>
      <c r="I499" s="61"/>
      <c r="J499" s="61"/>
      <c r="K499" s="61"/>
    </row>
    <row r="500">
      <c r="C500" s="61"/>
      <c r="H500" s="61"/>
      <c r="I500" s="61"/>
      <c r="J500" s="61"/>
      <c r="K500" s="61"/>
    </row>
    <row r="501">
      <c r="C501" s="61"/>
      <c r="H501" s="61"/>
      <c r="I501" s="61"/>
      <c r="J501" s="61"/>
      <c r="K501" s="61"/>
    </row>
    <row r="502">
      <c r="C502" s="61"/>
      <c r="H502" s="61"/>
      <c r="I502" s="61"/>
      <c r="J502" s="61"/>
      <c r="K502" s="61"/>
    </row>
    <row r="503">
      <c r="C503" s="61"/>
      <c r="H503" s="61"/>
      <c r="I503" s="61"/>
      <c r="J503" s="61"/>
      <c r="K503" s="61"/>
    </row>
    <row r="504">
      <c r="C504" s="61"/>
      <c r="H504" s="61"/>
      <c r="I504" s="61"/>
      <c r="J504" s="61"/>
      <c r="K504" s="61"/>
    </row>
    <row r="505">
      <c r="C505" s="61"/>
      <c r="H505" s="61"/>
      <c r="I505" s="61"/>
      <c r="J505" s="61"/>
      <c r="K505" s="61"/>
    </row>
    <row r="506">
      <c r="C506" s="61"/>
      <c r="H506" s="61"/>
      <c r="I506" s="61"/>
      <c r="J506" s="61"/>
      <c r="K506" s="61"/>
    </row>
    <row r="507">
      <c r="C507" s="61"/>
      <c r="H507" s="61"/>
      <c r="I507" s="61"/>
      <c r="J507" s="61"/>
      <c r="K507" s="61"/>
    </row>
    <row r="508">
      <c r="C508" s="61"/>
      <c r="H508" s="61"/>
      <c r="I508" s="61"/>
      <c r="J508" s="61"/>
      <c r="K508" s="61"/>
    </row>
    <row r="509">
      <c r="C509" s="61"/>
      <c r="H509" s="61"/>
      <c r="I509" s="61"/>
      <c r="J509" s="61"/>
      <c r="K509" s="61"/>
    </row>
    <row r="510">
      <c r="C510" s="61"/>
      <c r="H510" s="61"/>
      <c r="I510" s="61"/>
      <c r="J510" s="61"/>
      <c r="K510" s="61"/>
    </row>
    <row r="511">
      <c r="C511" s="61"/>
      <c r="H511" s="61"/>
      <c r="I511" s="61"/>
      <c r="J511" s="61"/>
      <c r="K511" s="61"/>
    </row>
    <row r="512">
      <c r="C512" s="61"/>
      <c r="H512" s="61"/>
      <c r="I512" s="61"/>
      <c r="J512" s="61"/>
      <c r="K512" s="61"/>
    </row>
    <row r="513">
      <c r="C513" s="61"/>
      <c r="H513" s="61"/>
      <c r="I513" s="61"/>
      <c r="J513" s="61"/>
      <c r="K513" s="61"/>
    </row>
    <row r="514">
      <c r="C514" s="61"/>
      <c r="H514" s="61"/>
      <c r="I514" s="61"/>
      <c r="J514" s="61"/>
      <c r="K514" s="61"/>
    </row>
    <row r="515">
      <c r="C515" s="61"/>
      <c r="H515" s="61"/>
      <c r="I515" s="61"/>
      <c r="J515" s="61"/>
      <c r="K515" s="61"/>
    </row>
    <row r="516">
      <c r="C516" s="61"/>
      <c r="H516" s="61"/>
      <c r="I516" s="61"/>
      <c r="J516" s="61"/>
      <c r="K516" s="61"/>
    </row>
    <row r="517">
      <c r="C517" s="61"/>
      <c r="H517" s="61"/>
      <c r="I517" s="61"/>
      <c r="J517" s="61"/>
      <c r="K517" s="61"/>
    </row>
    <row r="518">
      <c r="C518" s="61"/>
      <c r="H518" s="61"/>
      <c r="I518" s="61"/>
      <c r="J518" s="61"/>
      <c r="K518" s="61"/>
    </row>
    <row r="519">
      <c r="C519" s="61"/>
      <c r="H519" s="61"/>
      <c r="I519" s="61"/>
      <c r="J519" s="61"/>
      <c r="K519" s="61"/>
    </row>
    <row r="520">
      <c r="C520" s="61"/>
      <c r="H520" s="61"/>
      <c r="I520" s="61"/>
      <c r="J520" s="61"/>
      <c r="K520" s="61"/>
    </row>
    <row r="521">
      <c r="C521" s="61"/>
      <c r="H521" s="61"/>
      <c r="I521" s="61"/>
      <c r="J521" s="61"/>
      <c r="K521" s="61"/>
    </row>
    <row r="522">
      <c r="C522" s="61"/>
      <c r="H522" s="61"/>
      <c r="I522" s="61"/>
      <c r="J522" s="61"/>
      <c r="K522" s="61"/>
    </row>
    <row r="523">
      <c r="C523" s="61"/>
      <c r="H523" s="61"/>
      <c r="I523" s="61"/>
      <c r="J523" s="61"/>
      <c r="K523" s="61"/>
    </row>
    <row r="524">
      <c r="C524" s="61"/>
      <c r="H524" s="61"/>
      <c r="I524" s="61"/>
      <c r="J524" s="61"/>
      <c r="K524" s="61"/>
    </row>
    <row r="525">
      <c r="C525" s="61"/>
      <c r="H525" s="61"/>
      <c r="I525" s="61"/>
      <c r="J525" s="61"/>
      <c r="K525" s="61"/>
    </row>
    <row r="526">
      <c r="C526" s="61"/>
      <c r="H526" s="61"/>
      <c r="I526" s="61"/>
      <c r="J526" s="61"/>
      <c r="K526" s="61"/>
    </row>
    <row r="527">
      <c r="C527" s="61"/>
      <c r="H527" s="61"/>
      <c r="I527" s="61"/>
      <c r="J527" s="61"/>
      <c r="K527" s="61"/>
    </row>
    <row r="528">
      <c r="C528" s="61"/>
      <c r="H528" s="61"/>
      <c r="I528" s="61"/>
      <c r="J528" s="61"/>
      <c r="K528" s="61"/>
    </row>
    <row r="529">
      <c r="C529" s="61"/>
      <c r="H529" s="61"/>
      <c r="I529" s="61"/>
      <c r="J529" s="61"/>
      <c r="K529" s="61"/>
    </row>
    <row r="530">
      <c r="C530" s="61"/>
      <c r="H530" s="61"/>
      <c r="I530" s="61"/>
      <c r="J530" s="61"/>
      <c r="K530" s="61"/>
    </row>
    <row r="531">
      <c r="C531" s="61"/>
      <c r="H531" s="61"/>
      <c r="I531" s="61"/>
      <c r="J531" s="61"/>
      <c r="K531" s="61"/>
    </row>
    <row r="532">
      <c r="C532" s="61"/>
      <c r="H532" s="61"/>
      <c r="I532" s="61"/>
      <c r="J532" s="61"/>
      <c r="K532" s="61"/>
    </row>
    <row r="533">
      <c r="C533" s="61"/>
      <c r="H533" s="61"/>
      <c r="I533" s="61"/>
      <c r="J533" s="61"/>
      <c r="K533" s="61"/>
    </row>
    <row r="534">
      <c r="C534" s="61"/>
      <c r="H534" s="61"/>
      <c r="I534" s="61"/>
      <c r="J534" s="61"/>
      <c r="K534" s="61"/>
    </row>
    <row r="535">
      <c r="C535" s="61"/>
      <c r="H535" s="61"/>
      <c r="I535" s="61"/>
      <c r="J535" s="61"/>
      <c r="K535" s="61"/>
    </row>
    <row r="536">
      <c r="C536" s="61"/>
      <c r="H536" s="61"/>
      <c r="I536" s="61"/>
      <c r="J536" s="61"/>
      <c r="K536" s="61"/>
    </row>
    <row r="537">
      <c r="C537" s="61"/>
      <c r="H537" s="61"/>
      <c r="I537" s="61"/>
      <c r="J537" s="61"/>
      <c r="K537" s="61"/>
    </row>
    <row r="538">
      <c r="C538" s="61"/>
      <c r="H538" s="61"/>
      <c r="I538" s="61"/>
      <c r="J538" s="61"/>
      <c r="K538" s="61"/>
    </row>
    <row r="539">
      <c r="C539" s="61"/>
      <c r="H539" s="61"/>
      <c r="I539" s="61"/>
      <c r="J539" s="61"/>
      <c r="K539" s="61"/>
    </row>
    <row r="540">
      <c r="C540" s="61"/>
      <c r="H540" s="61"/>
      <c r="I540" s="61"/>
      <c r="J540" s="61"/>
      <c r="K540" s="61"/>
    </row>
    <row r="541">
      <c r="C541" s="61"/>
      <c r="H541" s="61"/>
      <c r="I541" s="61"/>
      <c r="J541" s="61"/>
      <c r="K541" s="61"/>
    </row>
    <row r="542">
      <c r="C542" s="61"/>
      <c r="H542" s="61"/>
      <c r="I542" s="61"/>
      <c r="J542" s="61"/>
      <c r="K542" s="61"/>
    </row>
    <row r="543">
      <c r="C543" s="61"/>
      <c r="H543" s="61"/>
      <c r="I543" s="61"/>
      <c r="J543" s="61"/>
      <c r="K543" s="61"/>
    </row>
    <row r="544">
      <c r="C544" s="61"/>
      <c r="H544" s="61"/>
      <c r="I544" s="61"/>
      <c r="J544" s="61"/>
      <c r="K544" s="61"/>
    </row>
    <row r="545">
      <c r="C545" s="61"/>
      <c r="H545" s="61"/>
      <c r="I545" s="61"/>
      <c r="J545" s="61"/>
      <c r="K545" s="61"/>
    </row>
    <row r="546">
      <c r="C546" s="61"/>
      <c r="H546" s="61"/>
      <c r="I546" s="61"/>
      <c r="J546" s="61"/>
      <c r="K546" s="61"/>
    </row>
    <row r="547">
      <c r="C547" s="61"/>
      <c r="H547" s="61"/>
      <c r="I547" s="61"/>
      <c r="J547" s="61"/>
      <c r="K547" s="61"/>
    </row>
    <row r="548">
      <c r="C548" s="61"/>
      <c r="H548" s="61"/>
      <c r="I548" s="61"/>
      <c r="J548" s="61"/>
      <c r="K548" s="61"/>
    </row>
    <row r="549">
      <c r="C549" s="61"/>
      <c r="H549" s="61"/>
      <c r="I549" s="61"/>
      <c r="J549" s="61"/>
      <c r="K549" s="61"/>
    </row>
    <row r="550">
      <c r="C550" s="61"/>
      <c r="H550" s="61"/>
      <c r="I550" s="61"/>
      <c r="J550" s="61"/>
      <c r="K550" s="61"/>
    </row>
    <row r="551">
      <c r="C551" s="61"/>
      <c r="H551" s="61"/>
      <c r="I551" s="61"/>
      <c r="J551" s="61"/>
      <c r="K551" s="61"/>
    </row>
    <row r="552">
      <c r="C552" s="61"/>
      <c r="H552" s="61"/>
      <c r="I552" s="61"/>
      <c r="J552" s="61"/>
      <c r="K552" s="61"/>
    </row>
    <row r="553">
      <c r="C553" s="61"/>
      <c r="H553" s="61"/>
      <c r="I553" s="61"/>
      <c r="J553" s="61"/>
      <c r="K553" s="61"/>
    </row>
    <row r="554">
      <c r="C554" s="61"/>
      <c r="H554" s="61"/>
      <c r="I554" s="61"/>
      <c r="J554" s="61"/>
      <c r="K554" s="61"/>
    </row>
    <row r="555">
      <c r="C555" s="61"/>
      <c r="H555" s="61"/>
      <c r="I555" s="61"/>
      <c r="J555" s="61"/>
      <c r="K555" s="61"/>
    </row>
    <row r="556">
      <c r="C556" s="61"/>
      <c r="H556" s="61"/>
      <c r="I556" s="61"/>
      <c r="J556" s="61"/>
      <c r="K556" s="61"/>
    </row>
    <row r="557">
      <c r="C557" s="61"/>
      <c r="H557" s="61"/>
      <c r="I557" s="61"/>
      <c r="J557" s="61"/>
      <c r="K557" s="61"/>
    </row>
    <row r="558">
      <c r="C558" s="61"/>
      <c r="H558" s="61"/>
      <c r="I558" s="61"/>
      <c r="J558" s="61"/>
      <c r="K558" s="61"/>
    </row>
    <row r="559">
      <c r="C559" s="61"/>
      <c r="H559" s="61"/>
      <c r="I559" s="61"/>
      <c r="J559" s="61"/>
      <c r="K559" s="61"/>
    </row>
    <row r="560">
      <c r="C560" s="61"/>
      <c r="H560" s="61"/>
      <c r="I560" s="61"/>
      <c r="J560" s="61"/>
      <c r="K560" s="61"/>
    </row>
    <row r="561">
      <c r="C561" s="61"/>
      <c r="H561" s="61"/>
      <c r="I561" s="61"/>
      <c r="J561" s="61"/>
      <c r="K561" s="61"/>
    </row>
    <row r="562">
      <c r="C562" s="61"/>
      <c r="H562" s="61"/>
      <c r="I562" s="61"/>
      <c r="J562" s="61"/>
      <c r="K562" s="61"/>
    </row>
    <row r="563">
      <c r="C563" s="61"/>
      <c r="H563" s="61"/>
      <c r="I563" s="61"/>
      <c r="J563" s="61"/>
      <c r="K563" s="61"/>
    </row>
    <row r="564">
      <c r="C564" s="61"/>
      <c r="H564" s="61"/>
      <c r="I564" s="61"/>
      <c r="J564" s="61"/>
      <c r="K564" s="61"/>
    </row>
    <row r="565">
      <c r="C565" s="61"/>
      <c r="H565" s="61"/>
      <c r="I565" s="61"/>
      <c r="J565" s="61"/>
      <c r="K565" s="61"/>
    </row>
    <row r="566">
      <c r="C566" s="61"/>
      <c r="H566" s="61"/>
      <c r="I566" s="61"/>
      <c r="J566" s="61"/>
      <c r="K566" s="61"/>
    </row>
    <row r="567">
      <c r="C567" s="61"/>
      <c r="H567" s="61"/>
      <c r="I567" s="61"/>
      <c r="J567" s="61"/>
      <c r="K567" s="61"/>
    </row>
    <row r="568">
      <c r="C568" s="61"/>
      <c r="H568" s="61"/>
      <c r="I568" s="61"/>
      <c r="J568" s="61"/>
      <c r="K568" s="61"/>
    </row>
    <row r="569">
      <c r="C569" s="61"/>
      <c r="H569" s="61"/>
      <c r="I569" s="61"/>
      <c r="J569" s="61"/>
      <c r="K569" s="61"/>
    </row>
    <row r="570">
      <c r="C570" s="61"/>
      <c r="H570" s="61"/>
      <c r="I570" s="61"/>
      <c r="J570" s="61"/>
      <c r="K570" s="61"/>
    </row>
    <row r="571">
      <c r="C571" s="61"/>
      <c r="H571" s="61"/>
      <c r="I571" s="61"/>
      <c r="J571" s="61"/>
      <c r="K571" s="61"/>
    </row>
    <row r="572">
      <c r="C572" s="61"/>
      <c r="H572" s="61"/>
      <c r="I572" s="61"/>
      <c r="J572" s="61"/>
      <c r="K572" s="61"/>
    </row>
    <row r="573">
      <c r="C573" s="61"/>
      <c r="H573" s="61"/>
      <c r="I573" s="61"/>
      <c r="J573" s="61"/>
      <c r="K573" s="61"/>
    </row>
    <row r="574">
      <c r="C574" s="61"/>
      <c r="H574" s="61"/>
      <c r="I574" s="61"/>
      <c r="J574" s="61"/>
      <c r="K574" s="61"/>
    </row>
    <row r="575">
      <c r="C575" s="61"/>
      <c r="H575" s="61"/>
      <c r="I575" s="61"/>
      <c r="J575" s="61"/>
      <c r="K575" s="61"/>
    </row>
    <row r="576">
      <c r="C576" s="61"/>
      <c r="H576" s="61"/>
      <c r="I576" s="61"/>
      <c r="J576" s="61"/>
      <c r="K576" s="61"/>
    </row>
    <row r="577">
      <c r="C577" s="61"/>
      <c r="H577" s="61"/>
      <c r="I577" s="61"/>
      <c r="J577" s="61"/>
      <c r="K577" s="61"/>
    </row>
    <row r="578">
      <c r="C578" s="61"/>
      <c r="H578" s="61"/>
      <c r="I578" s="61"/>
      <c r="J578" s="61"/>
      <c r="K578" s="61"/>
    </row>
    <row r="579">
      <c r="C579" s="61"/>
      <c r="H579" s="61"/>
      <c r="I579" s="61"/>
      <c r="J579" s="61"/>
      <c r="K579" s="61"/>
    </row>
    <row r="580">
      <c r="C580" s="61"/>
      <c r="H580" s="61"/>
      <c r="I580" s="61"/>
      <c r="J580" s="61"/>
      <c r="K580" s="61"/>
    </row>
    <row r="581">
      <c r="C581" s="61"/>
      <c r="H581" s="61"/>
      <c r="I581" s="61"/>
      <c r="J581" s="61"/>
      <c r="K581" s="61"/>
    </row>
    <row r="582">
      <c r="C582" s="61"/>
      <c r="H582" s="61"/>
      <c r="I582" s="61"/>
      <c r="J582" s="61"/>
      <c r="K582" s="61"/>
    </row>
    <row r="583">
      <c r="C583" s="61"/>
      <c r="H583" s="61"/>
      <c r="I583" s="61"/>
      <c r="J583" s="61"/>
      <c r="K583" s="61"/>
    </row>
    <row r="584">
      <c r="C584" s="61"/>
      <c r="H584" s="61"/>
      <c r="I584" s="61"/>
      <c r="J584" s="61"/>
      <c r="K584" s="61"/>
    </row>
    <row r="585">
      <c r="C585" s="61"/>
      <c r="H585" s="61"/>
      <c r="I585" s="61"/>
      <c r="J585" s="61"/>
      <c r="K585" s="61"/>
    </row>
    <row r="586">
      <c r="C586" s="61"/>
      <c r="H586" s="61"/>
      <c r="I586" s="61"/>
      <c r="J586" s="61"/>
      <c r="K586" s="61"/>
    </row>
    <row r="587">
      <c r="C587" s="61"/>
      <c r="H587" s="61"/>
      <c r="I587" s="61"/>
      <c r="J587" s="61"/>
      <c r="K587" s="61"/>
    </row>
    <row r="588">
      <c r="C588" s="61"/>
      <c r="H588" s="61"/>
      <c r="I588" s="61"/>
      <c r="J588" s="61"/>
      <c r="K588" s="61"/>
    </row>
    <row r="589">
      <c r="C589" s="61"/>
      <c r="H589" s="61"/>
      <c r="I589" s="61"/>
      <c r="J589" s="61"/>
      <c r="K589" s="61"/>
    </row>
    <row r="590">
      <c r="C590" s="61"/>
      <c r="H590" s="61"/>
      <c r="I590" s="61"/>
      <c r="J590" s="61"/>
      <c r="K590" s="61"/>
    </row>
    <row r="591">
      <c r="C591" s="61"/>
      <c r="H591" s="61"/>
      <c r="I591" s="61"/>
      <c r="J591" s="61"/>
      <c r="K591" s="61"/>
    </row>
    <row r="592">
      <c r="C592" s="61"/>
      <c r="H592" s="61"/>
      <c r="I592" s="61"/>
      <c r="J592" s="61"/>
      <c r="K592" s="61"/>
    </row>
    <row r="593">
      <c r="C593" s="61"/>
      <c r="H593" s="61"/>
      <c r="I593" s="61"/>
      <c r="J593" s="61"/>
      <c r="K593" s="61"/>
    </row>
    <row r="594">
      <c r="C594" s="61"/>
      <c r="H594" s="61"/>
      <c r="I594" s="61"/>
      <c r="J594" s="61"/>
      <c r="K594" s="61"/>
    </row>
    <row r="595">
      <c r="C595" s="61"/>
      <c r="H595" s="61"/>
      <c r="I595" s="61"/>
      <c r="J595" s="61"/>
      <c r="K595" s="61"/>
    </row>
    <row r="596">
      <c r="C596" s="61"/>
      <c r="H596" s="61"/>
      <c r="I596" s="61"/>
      <c r="J596" s="61"/>
      <c r="K596" s="61"/>
    </row>
    <row r="597">
      <c r="C597" s="61"/>
      <c r="H597" s="61"/>
      <c r="I597" s="61"/>
      <c r="J597" s="61"/>
      <c r="K597" s="61"/>
    </row>
    <row r="598">
      <c r="C598" s="61"/>
      <c r="H598" s="61"/>
      <c r="I598" s="61"/>
      <c r="J598" s="61"/>
      <c r="K598" s="61"/>
    </row>
    <row r="599">
      <c r="C599" s="61"/>
      <c r="H599" s="61"/>
      <c r="I599" s="61"/>
      <c r="J599" s="61"/>
      <c r="K599" s="61"/>
    </row>
    <row r="600">
      <c r="C600" s="61"/>
      <c r="H600" s="61"/>
      <c r="I600" s="61"/>
      <c r="J600" s="61"/>
      <c r="K600" s="61"/>
    </row>
    <row r="601">
      <c r="C601" s="61"/>
      <c r="H601" s="61"/>
      <c r="I601" s="61"/>
      <c r="J601" s="61"/>
      <c r="K601" s="61"/>
    </row>
    <row r="602">
      <c r="C602" s="61"/>
      <c r="H602" s="61"/>
      <c r="I602" s="61"/>
      <c r="J602" s="61"/>
      <c r="K602" s="61"/>
    </row>
    <row r="603">
      <c r="C603" s="61"/>
      <c r="H603" s="61"/>
      <c r="I603" s="61"/>
      <c r="J603" s="61"/>
      <c r="K603" s="61"/>
    </row>
    <row r="604">
      <c r="C604" s="61"/>
      <c r="H604" s="61"/>
      <c r="I604" s="61"/>
      <c r="J604" s="61"/>
      <c r="K604" s="61"/>
    </row>
    <row r="605">
      <c r="C605" s="61"/>
      <c r="H605" s="61"/>
      <c r="I605" s="61"/>
      <c r="J605" s="61"/>
      <c r="K605" s="61"/>
    </row>
    <row r="606">
      <c r="C606" s="61"/>
      <c r="H606" s="61"/>
      <c r="I606" s="61"/>
      <c r="J606" s="61"/>
      <c r="K606" s="61"/>
    </row>
    <row r="607">
      <c r="C607" s="61"/>
      <c r="H607" s="61"/>
      <c r="I607" s="61"/>
      <c r="J607" s="61"/>
      <c r="K607" s="61"/>
    </row>
    <row r="608">
      <c r="C608" s="61"/>
      <c r="H608" s="61"/>
      <c r="I608" s="61"/>
      <c r="J608" s="61"/>
      <c r="K608" s="61"/>
    </row>
    <row r="609">
      <c r="C609" s="61"/>
      <c r="H609" s="61"/>
      <c r="I609" s="61"/>
      <c r="J609" s="61"/>
      <c r="K609" s="61"/>
    </row>
    <row r="610">
      <c r="C610" s="61"/>
      <c r="H610" s="61"/>
      <c r="I610" s="61"/>
      <c r="J610" s="61"/>
      <c r="K610" s="61"/>
    </row>
    <row r="611">
      <c r="C611" s="61"/>
      <c r="H611" s="61"/>
      <c r="I611" s="61"/>
      <c r="J611" s="61"/>
      <c r="K611" s="61"/>
    </row>
    <row r="612">
      <c r="C612" s="61"/>
      <c r="H612" s="61"/>
      <c r="I612" s="61"/>
      <c r="J612" s="61"/>
      <c r="K612" s="61"/>
    </row>
    <row r="613">
      <c r="C613" s="61"/>
      <c r="H613" s="61"/>
      <c r="I613" s="61"/>
      <c r="J613" s="61"/>
      <c r="K613" s="61"/>
    </row>
    <row r="614">
      <c r="C614" s="61"/>
      <c r="H614" s="61"/>
      <c r="I614" s="61"/>
      <c r="J614" s="61"/>
      <c r="K614" s="61"/>
    </row>
    <row r="615">
      <c r="C615" s="61"/>
      <c r="H615" s="61"/>
      <c r="I615" s="61"/>
      <c r="J615" s="61"/>
      <c r="K615" s="61"/>
    </row>
    <row r="616">
      <c r="C616" s="61"/>
      <c r="H616" s="61"/>
      <c r="I616" s="61"/>
      <c r="J616" s="61"/>
      <c r="K616" s="61"/>
    </row>
    <row r="617">
      <c r="C617" s="61"/>
      <c r="H617" s="61"/>
      <c r="I617" s="61"/>
      <c r="J617" s="61"/>
      <c r="K617" s="61"/>
    </row>
    <row r="618">
      <c r="C618" s="61"/>
      <c r="H618" s="61"/>
      <c r="I618" s="61"/>
      <c r="J618" s="61"/>
      <c r="K618" s="61"/>
    </row>
    <row r="619">
      <c r="C619" s="61"/>
      <c r="H619" s="61"/>
      <c r="I619" s="61"/>
      <c r="J619" s="61"/>
      <c r="K619" s="61"/>
    </row>
    <row r="620">
      <c r="C620" s="61"/>
      <c r="H620" s="61"/>
      <c r="I620" s="61"/>
      <c r="J620" s="61"/>
      <c r="K620" s="61"/>
    </row>
    <row r="621">
      <c r="C621" s="61"/>
      <c r="H621" s="61"/>
      <c r="I621" s="61"/>
      <c r="J621" s="61"/>
      <c r="K621" s="61"/>
    </row>
    <row r="622">
      <c r="C622" s="61"/>
      <c r="H622" s="61"/>
      <c r="I622" s="61"/>
      <c r="J622" s="61"/>
      <c r="K622" s="61"/>
    </row>
    <row r="623">
      <c r="C623" s="61"/>
      <c r="H623" s="61"/>
      <c r="I623" s="61"/>
      <c r="J623" s="61"/>
      <c r="K623" s="61"/>
    </row>
    <row r="624">
      <c r="C624" s="61"/>
      <c r="H624" s="61"/>
      <c r="I624" s="61"/>
      <c r="J624" s="61"/>
      <c r="K624" s="61"/>
    </row>
    <row r="625">
      <c r="C625" s="61"/>
      <c r="H625" s="61"/>
      <c r="I625" s="61"/>
      <c r="J625" s="61"/>
      <c r="K625" s="61"/>
    </row>
    <row r="626">
      <c r="C626" s="61"/>
      <c r="H626" s="61"/>
      <c r="I626" s="61"/>
      <c r="J626" s="61"/>
      <c r="K626" s="61"/>
    </row>
    <row r="627">
      <c r="C627" s="61"/>
      <c r="H627" s="61"/>
      <c r="I627" s="61"/>
      <c r="J627" s="61"/>
      <c r="K627" s="61"/>
    </row>
    <row r="628">
      <c r="C628" s="61"/>
      <c r="H628" s="61"/>
      <c r="I628" s="61"/>
      <c r="J628" s="61"/>
      <c r="K628" s="61"/>
    </row>
    <row r="629">
      <c r="C629" s="61"/>
      <c r="H629" s="61"/>
      <c r="I629" s="61"/>
      <c r="J629" s="61"/>
      <c r="K629" s="61"/>
    </row>
    <row r="630">
      <c r="C630" s="61"/>
      <c r="H630" s="61"/>
      <c r="I630" s="61"/>
      <c r="J630" s="61"/>
      <c r="K630" s="61"/>
    </row>
    <row r="631">
      <c r="C631" s="61"/>
      <c r="H631" s="61"/>
      <c r="I631" s="61"/>
      <c r="J631" s="61"/>
      <c r="K631" s="61"/>
    </row>
    <row r="632">
      <c r="C632" s="61"/>
      <c r="H632" s="61"/>
      <c r="I632" s="61"/>
      <c r="J632" s="61"/>
      <c r="K632" s="61"/>
    </row>
    <row r="633">
      <c r="C633" s="61"/>
      <c r="H633" s="61"/>
      <c r="I633" s="61"/>
      <c r="J633" s="61"/>
      <c r="K633" s="61"/>
    </row>
    <row r="634">
      <c r="C634" s="61"/>
      <c r="H634" s="61"/>
      <c r="I634" s="61"/>
      <c r="J634" s="61"/>
      <c r="K634" s="61"/>
    </row>
    <row r="635">
      <c r="C635" s="61"/>
      <c r="H635" s="61"/>
      <c r="I635" s="61"/>
      <c r="J635" s="61"/>
      <c r="K635" s="61"/>
    </row>
    <row r="636">
      <c r="C636" s="61"/>
      <c r="H636" s="61"/>
      <c r="I636" s="61"/>
      <c r="J636" s="61"/>
      <c r="K636" s="61"/>
    </row>
    <row r="637">
      <c r="C637" s="61"/>
      <c r="H637" s="61"/>
      <c r="I637" s="61"/>
      <c r="J637" s="61"/>
      <c r="K637" s="61"/>
    </row>
    <row r="638">
      <c r="C638" s="61"/>
      <c r="H638" s="61"/>
      <c r="I638" s="61"/>
      <c r="J638" s="61"/>
      <c r="K638" s="61"/>
    </row>
    <row r="639">
      <c r="C639" s="61"/>
      <c r="H639" s="61"/>
      <c r="I639" s="61"/>
      <c r="J639" s="61"/>
      <c r="K639" s="61"/>
    </row>
    <row r="640">
      <c r="C640" s="61"/>
      <c r="H640" s="61"/>
      <c r="I640" s="61"/>
      <c r="J640" s="61"/>
      <c r="K640" s="61"/>
    </row>
    <row r="641">
      <c r="C641" s="61"/>
      <c r="H641" s="61"/>
      <c r="I641" s="61"/>
      <c r="J641" s="61"/>
      <c r="K641" s="61"/>
    </row>
    <row r="642">
      <c r="C642" s="61"/>
      <c r="H642" s="61"/>
      <c r="I642" s="61"/>
      <c r="J642" s="61"/>
      <c r="K642" s="61"/>
    </row>
    <row r="643">
      <c r="C643" s="61"/>
      <c r="H643" s="61"/>
      <c r="I643" s="61"/>
      <c r="J643" s="61"/>
      <c r="K643" s="61"/>
    </row>
    <row r="644">
      <c r="C644" s="61"/>
      <c r="H644" s="61"/>
      <c r="I644" s="61"/>
      <c r="J644" s="61"/>
      <c r="K644" s="61"/>
    </row>
    <row r="645">
      <c r="C645" s="61"/>
      <c r="H645" s="61"/>
      <c r="I645" s="61"/>
      <c r="J645" s="61"/>
      <c r="K645" s="61"/>
    </row>
    <row r="646">
      <c r="C646" s="61"/>
      <c r="H646" s="61"/>
      <c r="I646" s="61"/>
      <c r="J646" s="61"/>
      <c r="K646" s="61"/>
    </row>
    <row r="647">
      <c r="C647" s="61"/>
      <c r="H647" s="61"/>
      <c r="I647" s="61"/>
      <c r="J647" s="61"/>
      <c r="K647" s="61"/>
    </row>
    <row r="648">
      <c r="C648" s="61"/>
      <c r="H648" s="61"/>
      <c r="I648" s="61"/>
      <c r="J648" s="61"/>
      <c r="K648" s="61"/>
    </row>
    <row r="649">
      <c r="C649" s="61"/>
      <c r="H649" s="61"/>
      <c r="I649" s="61"/>
      <c r="J649" s="61"/>
      <c r="K649" s="61"/>
    </row>
    <row r="650">
      <c r="C650" s="61"/>
      <c r="H650" s="61"/>
      <c r="I650" s="61"/>
      <c r="J650" s="61"/>
      <c r="K650" s="61"/>
    </row>
    <row r="651">
      <c r="C651" s="61"/>
      <c r="H651" s="61"/>
      <c r="I651" s="61"/>
      <c r="J651" s="61"/>
      <c r="K651" s="61"/>
    </row>
    <row r="652">
      <c r="C652" s="61"/>
      <c r="H652" s="61"/>
      <c r="I652" s="61"/>
      <c r="J652" s="61"/>
      <c r="K652" s="61"/>
    </row>
    <row r="653">
      <c r="C653" s="61"/>
      <c r="H653" s="61"/>
      <c r="I653" s="61"/>
      <c r="J653" s="61"/>
      <c r="K653" s="61"/>
    </row>
    <row r="654">
      <c r="C654" s="61"/>
      <c r="H654" s="61"/>
      <c r="I654" s="61"/>
      <c r="J654" s="61"/>
      <c r="K654" s="61"/>
    </row>
    <row r="655">
      <c r="C655" s="61"/>
      <c r="H655" s="61"/>
      <c r="I655" s="61"/>
      <c r="J655" s="61"/>
      <c r="K655" s="61"/>
    </row>
    <row r="656">
      <c r="C656" s="61"/>
      <c r="H656" s="61"/>
      <c r="I656" s="61"/>
      <c r="J656" s="61"/>
      <c r="K656" s="61"/>
    </row>
    <row r="657">
      <c r="C657" s="61"/>
      <c r="H657" s="61"/>
      <c r="I657" s="61"/>
      <c r="J657" s="61"/>
      <c r="K657" s="61"/>
    </row>
    <row r="658">
      <c r="C658" s="61"/>
      <c r="H658" s="61"/>
      <c r="I658" s="61"/>
      <c r="J658" s="61"/>
      <c r="K658" s="61"/>
    </row>
    <row r="659">
      <c r="C659" s="61"/>
      <c r="H659" s="61"/>
      <c r="I659" s="61"/>
      <c r="J659" s="61"/>
      <c r="K659" s="61"/>
    </row>
    <row r="660">
      <c r="C660" s="61"/>
      <c r="H660" s="61"/>
      <c r="I660" s="61"/>
      <c r="J660" s="61"/>
      <c r="K660" s="61"/>
    </row>
    <row r="661">
      <c r="C661" s="61"/>
      <c r="H661" s="61"/>
      <c r="I661" s="61"/>
      <c r="J661" s="61"/>
      <c r="K661" s="61"/>
    </row>
    <row r="662">
      <c r="C662" s="61"/>
      <c r="H662" s="61"/>
      <c r="I662" s="61"/>
      <c r="J662" s="61"/>
      <c r="K662" s="61"/>
    </row>
    <row r="663">
      <c r="C663" s="61"/>
      <c r="H663" s="61"/>
      <c r="I663" s="61"/>
      <c r="J663" s="61"/>
      <c r="K663" s="61"/>
    </row>
    <row r="664">
      <c r="C664" s="61"/>
      <c r="H664" s="61"/>
      <c r="I664" s="61"/>
      <c r="J664" s="61"/>
      <c r="K664" s="61"/>
    </row>
    <row r="665">
      <c r="C665" s="61"/>
      <c r="H665" s="61"/>
      <c r="I665" s="61"/>
      <c r="J665" s="61"/>
      <c r="K665" s="61"/>
    </row>
    <row r="666">
      <c r="C666" s="61"/>
      <c r="H666" s="61"/>
      <c r="I666" s="61"/>
      <c r="J666" s="61"/>
      <c r="K666" s="61"/>
    </row>
    <row r="667">
      <c r="C667" s="61"/>
      <c r="H667" s="61"/>
      <c r="I667" s="61"/>
      <c r="J667" s="61"/>
      <c r="K667" s="61"/>
    </row>
    <row r="668">
      <c r="C668" s="61"/>
      <c r="H668" s="61"/>
      <c r="I668" s="61"/>
      <c r="J668" s="61"/>
      <c r="K668" s="61"/>
    </row>
    <row r="669">
      <c r="C669" s="61"/>
      <c r="H669" s="61"/>
      <c r="I669" s="61"/>
      <c r="J669" s="61"/>
      <c r="K669" s="61"/>
    </row>
    <row r="670">
      <c r="C670" s="61"/>
      <c r="H670" s="61"/>
      <c r="I670" s="61"/>
      <c r="J670" s="61"/>
      <c r="K670" s="61"/>
    </row>
    <row r="671">
      <c r="C671" s="61"/>
      <c r="H671" s="61"/>
      <c r="I671" s="61"/>
      <c r="J671" s="61"/>
      <c r="K671" s="61"/>
    </row>
    <row r="672">
      <c r="C672" s="61"/>
      <c r="H672" s="61"/>
      <c r="I672" s="61"/>
      <c r="J672" s="61"/>
      <c r="K672" s="61"/>
    </row>
    <row r="673">
      <c r="C673" s="61"/>
      <c r="H673" s="61"/>
      <c r="I673" s="61"/>
      <c r="J673" s="61"/>
      <c r="K673" s="61"/>
    </row>
    <row r="674">
      <c r="C674" s="61"/>
      <c r="H674" s="61"/>
      <c r="I674" s="61"/>
      <c r="J674" s="61"/>
      <c r="K674" s="61"/>
    </row>
    <row r="675">
      <c r="C675" s="61"/>
      <c r="H675" s="61"/>
      <c r="I675" s="61"/>
      <c r="J675" s="61"/>
      <c r="K675" s="61"/>
    </row>
    <row r="676">
      <c r="C676" s="61"/>
      <c r="H676" s="61"/>
      <c r="I676" s="61"/>
      <c r="J676" s="61"/>
      <c r="K676" s="61"/>
    </row>
    <row r="677">
      <c r="C677" s="61"/>
      <c r="H677" s="61"/>
      <c r="I677" s="61"/>
      <c r="J677" s="61"/>
      <c r="K677" s="61"/>
    </row>
    <row r="678">
      <c r="C678" s="61"/>
      <c r="H678" s="61"/>
      <c r="I678" s="61"/>
      <c r="J678" s="61"/>
      <c r="K678" s="61"/>
    </row>
    <row r="679">
      <c r="C679" s="61"/>
      <c r="H679" s="61"/>
      <c r="I679" s="61"/>
      <c r="J679" s="61"/>
      <c r="K679" s="61"/>
    </row>
    <row r="680">
      <c r="C680" s="61"/>
      <c r="H680" s="61"/>
      <c r="I680" s="61"/>
      <c r="J680" s="61"/>
      <c r="K680" s="61"/>
    </row>
    <row r="681">
      <c r="C681" s="61"/>
      <c r="H681" s="61"/>
      <c r="I681" s="61"/>
      <c r="J681" s="61"/>
      <c r="K681" s="61"/>
    </row>
    <row r="682">
      <c r="C682" s="61"/>
      <c r="H682" s="61"/>
      <c r="I682" s="61"/>
      <c r="J682" s="61"/>
      <c r="K682" s="61"/>
    </row>
    <row r="683">
      <c r="C683" s="61"/>
      <c r="H683" s="61"/>
      <c r="I683" s="61"/>
      <c r="J683" s="61"/>
      <c r="K683" s="61"/>
    </row>
    <row r="684">
      <c r="C684" s="61"/>
      <c r="H684" s="61"/>
      <c r="I684" s="61"/>
      <c r="J684" s="61"/>
      <c r="K684" s="61"/>
    </row>
    <row r="685">
      <c r="C685" s="61"/>
      <c r="H685" s="61"/>
      <c r="I685" s="61"/>
      <c r="J685" s="61"/>
      <c r="K685" s="61"/>
    </row>
    <row r="686">
      <c r="C686" s="61"/>
      <c r="H686" s="61"/>
      <c r="I686" s="61"/>
      <c r="J686" s="61"/>
      <c r="K686" s="61"/>
    </row>
    <row r="687">
      <c r="C687" s="61"/>
      <c r="H687" s="61"/>
      <c r="I687" s="61"/>
      <c r="J687" s="61"/>
      <c r="K687" s="61"/>
    </row>
    <row r="688">
      <c r="C688" s="61"/>
      <c r="H688" s="61"/>
      <c r="I688" s="61"/>
      <c r="J688" s="61"/>
      <c r="K688" s="61"/>
    </row>
    <row r="689">
      <c r="C689" s="61"/>
      <c r="H689" s="61"/>
      <c r="I689" s="61"/>
      <c r="J689" s="61"/>
      <c r="K689" s="61"/>
    </row>
    <row r="690">
      <c r="C690" s="61"/>
      <c r="H690" s="61"/>
      <c r="I690" s="61"/>
      <c r="J690" s="61"/>
      <c r="K690" s="61"/>
    </row>
    <row r="691">
      <c r="C691" s="61"/>
      <c r="H691" s="61"/>
      <c r="I691" s="61"/>
      <c r="J691" s="61"/>
      <c r="K691" s="61"/>
    </row>
    <row r="692">
      <c r="C692" s="61"/>
      <c r="H692" s="61"/>
      <c r="I692" s="61"/>
      <c r="J692" s="61"/>
      <c r="K692" s="61"/>
    </row>
    <row r="693">
      <c r="C693" s="61"/>
      <c r="H693" s="61"/>
      <c r="I693" s="61"/>
      <c r="J693" s="61"/>
      <c r="K693" s="61"/>
    </row>
    <row r="694">
      <c r="C694" s="61"/>
      <c r="H694" s="61"/>
      <c r="I694" s="61"/>
      <c r="J694" s="61"/>
      <c r="K694" s="61"/>
    </row>
    <row r="695">
      <c r="C695" s="61"/>
      <c r="H695" s="61"/>
      <c r="I695" s="61"/>
      <c r="J695" s="61"/>
      <c r="K695" s="61"/>
    </row>
    <row r="696">
      <c r="C696" s="61"/>
      <c r="H696" s="61"/>
      <c r="I696" s="61"/>
      <c r="J696" s="61"/>
      <c r="K696" s="61"/>
    </row>
    <row r="697">
      <c r="C697" s="61"/>
      <c r="H697" s="61"/>
      <c r="I697" s="61"/>
      <c r="J697" s="61"/>
      <c r="K697" s="61"/>
    </row>
    <row r="698">
      <c r="C698" s="61"/>
      <c r="H698" s="61"/>
      <c r="I698" s="61"/>
      <c r="J698" s="61"/>
      <c r="K698" s="61"/>
    </row>
    <row r="699">
      <c r="C699" s="61"/>
      <c r="H699" s="61"/>
      <c r="I699" s="61"/>
      <c r="J699" s="61"/>
      <c r="K699" s="61"/>
    </row>
    <row r="700">
      <c r="C700" s="61"/>
      <c r="H700" s="61"/>
      <c r="I700" s="61"/>
      <c r="J700" s="61"/>
      <c r="K700" s="61"/>
    </row>
    <row r="701">
      <c r="C701" s="61"/>
      <c r="H701" s="61"/>
      <c r="I701" s="61"/>
      <c r="J701" s="61"/>
      <c r="K701" s="61"/>
    </row>
    <row r="702">
      <c r="C702" s="61"/>
      <c r="H702" s="61"/>
      <c r="I702" s="61"/>
      <c r="J702" s="61"/>
      <c r="K702" s="61"/>
    </row>
    <row r="703">
      <c r="C703" s="61"/>
      <c r="H703" s="61"/>
      <c r="I703" s="61"/>
      <c r="J703" s="61"/>
      <c r="K703" s="61"/>
    </row>
    <row r="704">
      <c r="C704" s="61"/>
      <c r="H704" s="61"/>
      <c r="I704" s="61"/>
      <c r="J704" s="61"/>
      <c r="K704" s="61"/>
    </row>
    <row r="705">
      <c r="C705" s="61"/>
      <c r="H705" s="61"/>
      <c r="I705" s="61"/>
      <c r="J705" s="61"/>
      <c r="K705" s="61"/>
    </row>
    <row r="706">
      <c r="C706" s="61"/>
      <c r="H706" s="61"/>
      <c r="I706" s="61"/>
      <c r="J706" s="61"/>
      <c r="K706" s="61"/>
    </row>
    <row r="707">
      <c r="C707" s="61"/>
      <c r="H707" s="61"/>
      <c r="I707" s="61"/>
      <c r="J707" s="61"/>
      <c r="K707" s="61"/>
    </row>
    <row r="708">
      <c r="C708" s="61"/>
      <c r="H708" s="61"/>
      <c r="I708" s="61"/>
      <c r="J708" s="61"/>
      <c r="K708" s="61"/>
    </row>
    <row r="709">
      <c r="C709" s="61"/>
      <c r="H709" s="61"/>
      <c r="I709" s="61"/>
      <c r="J709" s="61"/>
      <c r="K709" s="61"/>
    </row>
    <row r="710">
      <c r="C710" s="61"/>
      <c r="H710" s="61"/>
      <c r="I710" s="61"/>
      <c r="J710" s="61"/>
      <c r="K710" s="61"/>
    </row>
    <row r="711">
      <c r="C711" s="61"/>
      <c r="H711" s="61"/>
      <c r="I711" s="61"/>
      <c r="J711" s="61"/>
      <c r="K711" s="61"/>
    </row>
    <row r="712">
      <c r="C712" s="61"/>
      <c r="H712" s="61"/>
      <c r="I712" s="61"/>
      <c r="J712" s="61"/>
      <c r="K712" s="61"/>
    </row>
    <row r="713">
      <c r="C713" s="61"/>
      <c r="H713" s="61"/>
      <c r="I713" s="61"/>
      <c r="J713" s="61"/>
      <c r="K713" s="61"/>
    </row>
    <row r="714">
      <c r="C714" s="61"/>
      <c r="H714" s="61"/>
      <c r="I714" s="61"/>
      <c r="J714" s="61"/>
      <c r="K714" s="61"/>
    </row>
    <row r="715">
      <c r="C715" s="61"/>
      <c r="H715" s="61"/>
      <c r="I715" s="61"/>
      <c r="J715" s="61"/>
      <c r="K715" s="61"/>
    </row>
    <row r="716">
      <c r="C716" s="61"/>
      <c r="H716" s="61"/>
      <c r="I716" s="61"/>
      <c r="J716" s="61"/>
      <c r="K716" s="61"/>
    </row>
    <row r="717">
      <c r="C717" s="61"/>
      <c r="H717" s="61"/>
      <c r="I717" s="61"/>
      <c r="J717" s="61"/>
      <c r="K717" s="61"/>
    </row>
    <row r="718">
      <c r="C718" s="61"/>
      <c r="H718" s="61"/>
      <c r="I718" s="61"/>
      <c r="J718" s="61"/>
      <c r="K718" s="61"/>
    </row>
    <row r="719">
      <c r="C719" s="61"/>
      <c r="H719" s="61"/>
      <c r="I719" s="61"/>
      <c r="J719" s="61"/>
      <c r="K719" s="61"/>
    </row>
    <row r="720">
      <c r="C720" s="61"/>
      <c r="H720" s="61"/>
      <c r="I720" s="61"/>
      <c r="J720" s="61"/>
      <c r="K720" s="61"/>
    </row>
    <row r="721">
      <c r="C721" s="61"/>
      <c r="H721" s="61"/>
      <c r="I721" s="61"/>
      <c r="J721" s="61"/>
      <c r="K721" s="61"/>
    </row>
    <row r="722">
      <c r="C722" s="61"/>
      <c r="H722" s="61"/>
      <c r="I722" s="61"/>
      <c r="J722" s="61"/>
      <c r="K722" s="61"/>
    </row>
    <row r="723">
      <c r="C723" s="61"/>
      <c r="H723" s="61"/>
      <c r="I723" s="61"/>
      <c r="J723" s="61"/>
      <c r="K723" s="61"/>
    </row>
    <row r="724">
      <c r="C724" s="61"/>
      <c r="H724" s="61"/>
      <c r="I724" s="61"/>
      <c r="J724" s="61"/>
      <c r="K724" s="61"/>
    </row>
    <row r="725">
      <c r="C725" s="61"/>
      <c r="H725" s="61"/>
      <c r="I725" s="61"/>
      <c r="J725" s="61"/>
      <c r="K725" s="61"/>
    </row>
    <row r="726">
      <c r="C726" s="61"/>
      <c r="H726" s="61"/>
      <c r="I726" s="61"/>
      <c r="J726" s="61"/>
      <c r="K726" s="61"/>
    </row>
    <row r="727">
      <c r="C727" s="61"/>
      <c r="H727" s="61"/>
      <c r="I727" s="61"/>
      <c r="J727" s="61"/>
      <c r="K727" s="61"/>
    </row>
    <row r="728">
      <c r="C728" s="61"/>
      <c r="H728" s="61"/>
      <c r="I728" s="61"/>
      <c r="J728" s="61"/>
      <c r="K728" s="61"/>
    </row>
    <row r="729">
      <c r="C729" s="61"/>
      <c r="H729" s="61"/>
      <c r="I729" s="61"/>
      <c r="J729" s="61"/>
      <c r="K729" s="61"/>
    </row>
    <row r="730">
      <c r="C730" s="61"/>
      <c r="H730" s="61"/>
      <c r="I730" s="61"/>
      <c r="J730" s="61"/>
      <c r="K730" s="61"/>
    </row>
    <row r="731">
      <c r="C731" s="61"/>
      <c r="H731" s="61"/>
      <c r="I731" s="61"/>
      <c r="J731" s="61"/>
      <c r="K731" s="61"/>
    </row>
    <row r="732">
      <c r="C732" s="61"/>
      <c r="H732" s="61"/>
      <c r="I732" s="61"/>
      <c r="J732" s="61"/>
      <c r="K732" s="61"/>
    </row>
    <row r="733">
      <c r="C733" s="61"/>
      <c r="H733" s="61"/>
      <c r="I733" s="61"/>
      <c r="J733" s="61"/>
      <c r="K733" s="61"/>
    </row>
    <row r="734">
      <c r="C734" s="61"/>
      <c r="H734" s="61"/>
      <c r="I734" s="61"/>
      <c r="J734" s="61"/>
      <c r="K734" s="61"/>
    </row>
    <row r="735">
      <c r="C735" s="61"/>
      <c r="H735" s="61"/>
      <c r="I735" s="61"/>
      <c r="J735" s="61"/>
      <c r="K735" s="61"/>
    </row>
    <row r="736">
      <c r="C736" s="61"/>
      <c r="H736" s="61"/>
      <c r="I736" s="61"/>
      <c r="J736" s="61"/>
      <c r="K736" s="61"/>
    </row>
    <row r="737">
      <c r="C737" s="61"/>
      <c r="H737" s="61"/>
      <c r="I737" s="61"/>
      <c r="J737" s="61"/>
      <c r="K737" s="61"/>
    </row>
    <row r="738">
      <c r="C738" s="61"/>
      <c r="H738" s="61"/>
      <c r="I738" s="61"/>
      <c r="J738" s="61"/>
      <c r="K738" s="61"/>
    </row>
    <row r="739">
      <c r="C739" s="61"/>
      <c r="H739" s="61"/>
      <c r="I739" s="61"/>
      <c r="J739" s="61"/>
      <c r="K739" s="61"/>
    </row>
    <row r="740">
      <c r="C740" s="61"/>
      <c r="H740" s="61"/>
      <c r="I740" s="61"/>
      <c r="J740" s="61"/>
      <c r="K740" s="61"/>
    </row>
    <row r="741">
      <c r="C741" s="61"/>
      <c r="H741" s="61"/>
      <c r="I741" s="61"/>
      <c r="J741" s="61"/>
      <c r="K741" s="61"/>
    </row>
    <row r="742">
      <c r="C742" s="61"/>
      <c r="H742" s="61"/>
      <c r="I742" s="61"/>
      <c r="J742" s="61"/>
      <c r="K742" s="61"/>
    </row>
    <row r="743">
      <c r="C743" s="61"/>
      <c r="H743" s="61"/>
      <c r="I743" s="61"/>
      <c r="J743" s="61"/>
      <c r="K743" s="61"/>
    </row>
    <row r="744">
      <c r="C744" s="61"/>
      <c r="H744" s="61"/>
      <c r="I744" s="61"/>
      <c r="J744" s="61"/>
      <c r="K744" s="61"/>
    </row>
    <row r="745">
      <c r="C745" s="61"/>
      <c r="H745" s="61"/>
      <c r="I745" s="61"/>
      <c r="J745" s="61"/>
      <c r="K745" s="61"/>
    </row>
    <row r="746">
      <c r="C746" s="61"/>
      <c r="H746" s="61"/>
      <c r="I746" s="61"/>
      <c r="J746" s="61"/>
      <c r="K746" s="61"/>
    </row>
    <row r="747">
      <c r="C747" s="61"/>
      <c r="H747" s="61"/>
      <c r="I747" s="61"/>
      <c r="J747" s="61"/>
      <c r="K747" s="61"/>
    </row>
    <row r="748">
      <c r="C748" s="61"/>
      <c r="H748" s="61"/>
      <c r="I748" s="61"/>
      <c r="J748" s="61"/>
      <c r="K748" s="61"/>
    </row>
    <row r="749">
      <c r="C749" s="61"/>
      <c r="H749" s="61"/>
      <c r="I749" s="61"/>
      <c r="J749" s="61"/>
      <c r="K749" s="61"/>
    </row>
    <row r="750">
      <c r="C750" s="61"/>
      <c r="H750" s="61"/>
      <c r="I750" s="61"/>
      <c r="J750" s="61"/>
      <c r="K750" s="61"/>
    </row>
    <row r="751">
      <c r="C751" s="61"/>
      <c r="H751" s="61"/>
      <c r="I751" s="61"/>
      <c r="J751" s="61"/>
      <c r="K751" s="61"/>
    </row>
    <row r="752">
      <c r="C752" s="61"/>
      <c r="H752" s="61"/>
      <c r="I752" s="61"/>
      <c r="J752" s="61"/>
      <c r="K752" s="61"/>
    </row>
    <row r="753">
      <c r="C753" s="61"/>
      <c r="H753" s="61"/>
      <c r="I753" s="61"/>
      <c r="J753" s="61"/>
      <c r="K753" s="61"/>
    </row>
    <row r="754">
      <c r="C754" s="61"/>
      <c r="H754" s="61"/>
      <c r="I754" s="61"/>
      <c r="J754" s="61"/>
      <c r="K754" s="61"/>
    </row>
    <row r="755">
      <c r="C755" s="61"/>
      <c r="H755" s="61"/>
      <c r="I755" s="61"/>
      <c r="J755" s="61"/>
      <c r="K755" s="61"/>
    </row>
    <row r="756">
      <c r="C756" s="61"/>
      <c r="H756" s="61"/>
      <c r="I756" s="61"/>
      <c r="J756" s="61"/>
      <c r="K756" s="61"/>
    </row>
    <row r="757">
      <c r="C757" s="61"/>
      <c r="H757" s="61"/>
      <c r="I757" s="61"/>
      <c r="J757" s="61"/>
      <c r="K757" s="61"/>
    </row>
    <row r="758">
      <c r="C758" s="61"/>
      <c r="H758" s="61"/>
      <c r="I758" s="61"/>
      <c r="J758" s="61"/>
      <c r="K758" s="61"/>
    </row>
    <row r="759">
      <c r="C759" s="61"/>
      <c r="H759" s="61"/>
      <c r="I759" s="61"/>
      <c r="J759" s="61"/>
      <c r="K759" s="61"/>
    </row>
    <row r="760">
      <c r="C760" s="61"/>
      <c r="H760" s="61"/>
      <c r="I760" s="61"/>
      <c r="J760" s="61"/>
      <c r="K760" s="61"/>
    </row>
    <row r="761">
      <c r="C761" s="61"/>
      <c r="H761" s="61"/>
      <c r="I761" s="61"/>
      <c r="J761" s="61"/>
      <c r="K761" s="61"/>
    </row>
    <row r="762">
      <c r="C762" s="61"/>
      <c r="H762" s="61"/>
      <c r="I762" s="61"/>
      <c r="J762" s="61"/>
      <c r="K762" s="61"/>
    </row>
    <row r="763">
      <c r="C763" s="61"/>
      <c r="H763" s="61"/>
      <c r="I763" s="61"/>
      <c r="J763" s="61"/>
      <c r="K763" s="61"/>
    </row>
    <row r="764">
      <c r="C764" s="61"/>
      <c r="H764" s="61"/>
      <c r="I764" s="61"/>
      <c r="J764" s="61"/>
      <c r="K764" s="61"/>
    </row>
    <row r="765">
      <c r="C765" s="61"/>
      <c r="H765" s="61"/>
      <c r="I765" s="61"/>
      <c r="J765" s="61"/>
      <c r="K765" s="61"/>
    </row>
    <row r="766">
      <c r="C766" s="61"/>
      <c r="H766" s="61"/>
      <c r="I766" s="61"/>
      <c r="J766" s="61"/>
      <c r="K766" s="61"/>
    </row>
    <row r="767">
      <c r="C767" s="61"/>
      <c r="H767" s="61"/>
      <c r="I767" s="61"/>
      <c r="J767" s="61"/>
      <c r="K767" s="61"/>
    </row>
    <row r="768">
      <c r="C768" s="61"/>
      <c r="H768" s="61"/>
      <c r="I768" s="61"/>
      <c r="J768" s="61"/>
      <c r="K768" s="61"/>
    </row>
    <row r="769">
      <c r="C769" s="61"/>
      <c r="H769" s="61"/>
      <c r="I769" s="61"/>
      <c r="J769" s="61"/>
      <c r="K769" s="61"/>
    </row>
    <row r="770">
      <c r="C770" s="61"/>
      <c r="H770" s="61"/>
      <c r="I770" s="61"/>
      <c r="J770" s="61"/>
      <c r="K770" s="61"/>
    </row>
    <row r="771">
      <c r="C771" s="61"/>
      <c r="H771" s="61"/>
      <c r="I771" s="61"/>
      <c r="J771" s="61"/>
      <c r="K771" s="61"/>
    </row>
    <row r="772">
      <c r="C772" s="61"/>
      <c r="H772" s="61"/>
      <c r="I772" s="61"/>
      <c r="J772" s="61"/>
      <c r="K772" s="61"/>
    </row>
    <row r="773">
      <c r="C773" s="61"/>
      <c r="H773" s="61"/>
      <c r="I773" s="61"/>
      <c r="J773" s="61"/>
      <c r="K773" s="61"/>
    </row>
    <row r="774">
      <c r="C774" s="61"/>
      <c r="H774" s="61"/>
      <c r="I774" s="61"/>
      <c r="J774" s="61"/>
      <c r="K774" s="61"/>
    </row>
    <row r="775">
      <c r="C775" s="61"/>
      <c r="H775" s="61"/>
      <c r="I775" s="61"/>
      <c r="J775" s="61"/>
      <c r="K775" s="61"/>
    </row>
    <row r="776">
      <c r="C776" s="61"/>
      <c r="H776" s="61"/>
      <c r="I776" s="61"/>
      <c r="J776" s="61"/>
      <c r="K776" s="61"/>
    </row>
    <row r="777">
      <c r="C777" s="61"/>
      <c r="H777" s="61"/>
      <c r="I777" s="61"/>
      <c r="J777" s="61"/>
      <c r="K777" s="61"/>
    </row>
    <row r="778">
      <c r="C778" s="61"/>
      <c r="H778" s="61"/>
      <c r="I778" s="61"/>
      <c r="J778" s="61"/>
      <c r="K778" s="61"/>
    </row>
    <row r="779">
      <c r="C779" s="61"/>
      <c r="H779" s="61"/>
      <c r="I779" s="61"/>
      <c r="J779" s="61"/>
      <c r="K779" s="61"/>
    </row>
    <row r="780">
      <c r="C780" s="61"/>
      <c r="H780" s="61"/>
      <c r="I780" s="61"/>
      <c r="J780" s="61"/>
      <c r="K780" s="61"/>
    </row>
    <row r="781">
      <c r="C781" s="61"/>
      <c r="H781" s="61"/>
      <c r="I781" s="61"/>
      <c r="J781" s="61"/>
      <c r="K781" s="61"/>
    </row>
    <row r="782">
      <c r="C782" s="61"/>
      <c r="H782" s="61"/>
      <c r="I782" s="61"/>
      <c r="J782" s="61"/>
      <c r="K782" s="61"/>
    </row>
    <row r="783">
      <c r="C783" s="61"/>
      <c r="H783" s="61"/>
      <c r="I783" s="61"/>
      <c r="J783" s="61"/>
      <c r="K783" s="61"/>
    </row>
    <row r="784">
      <c r="C784" s="61"/>
      <c r="H784" s="61"/>
      <c r="I784" s="61"/>
      <c r="J784" s="61"/>
      <c r="K784" s="61"/>
    </row>
    <row r="785">
      <c r="C785" s="61"/>
      <c r="H785" s="61"/>
      <c r="I785" s="61"/>
      <c r="J785" s="61"/>
      <c r="K785" s="61"/>
    </row>
    <row r="786">
      <c r="C786" s="61"/>
      <c r="H786" s="61"/>
      <c r="I786" s="61"/>
      <c r="J786" s="61"/>
      <c r="K786" s="61"/>
    </row>
    <row r="787">
      <c r="C787" s="61"/>
      <c r="H787" s="61"/>
      <c r="I787" s="61"/>
      <c r="J787" s="61"/>
      <c r="K787" s="61"/>
    </row>
    <row r="788">
      <c r="C788" s="61"/>
      <c r="H788" s="61"/>
      <c r="I788" s="61"/>
      <c r="J788" s="61"/>
      <c r="K788" s="61"/>
    </row>
    <row r="789">
      <c r="C789" s="61"/>
      <c r="H789" s="61"/>
      <c r="I789" s="61"/>
      <c r="J789" s="61"/>
      <c r="K789" s="61"/>
    </row>
    <row r="790">
      <c r="C790" s="61"/>
      <c r="H790" s="61"/>
      <c r="I790" s="61"/>
      <c r="J790" s="61"/>
      <c r="K790" s="61"/>
    </row>
    <row r="791">
      <c r="C791" s="61"/>
      <c r="H791" s="61"/>
      <c r="I791" s="61"/>
      <c r="J791" s="61"/>
      <c r="K791" s="61"/>
    </row>
    <row r="792">
      <c r="C792" s="61"/>
      <c r="H792" s="61"/>
      <c r="I792" s="61"/>
      <c r="J792" s="61"/>
      <c r="K792" s="61"/>
    </row>
    <row r="793">
      <c r="C793" s="61"/>
      <c r="H793" s="61"/>
      <c r="I793" s="61"/>
      <c r="J793" s="61"/>
      <c r="K793" s="61"/>
    </row>
    <row r="794">
      <c r="C794" s="61"/>
      <c r="H794" s="61"/>
      <c r="I794" s="61"/>
      <c r="J794" s="61"/>
      <c r="K794" s="61"/>
    </row>
    <row r="795">
      <c r="C795" s="61"/>
      <c r="H795" s="61"/>
      <c r="I795" s="61"/>
      <c r="J795" s="61"/>
      <c r="K795" s="61"/>
    </row>
    <row r="796">
      <c r="C796" s="61"/>
      <c r="H796" s="61"/>
      <c r="I796" s="61"/>
      <c r="J796" s="61"/>
      <c r="K796" s="61"/>
    </row>
    <row r="797">
      <c r="C797" s="61"/>
      <c r="H797" s="61"/>
      <c r="I797" s="61"/>
      <c r="J797" s="61"/>
      <c r="K797" s="61"/>
    </row>
    <row r="798">
      <c r="C798" s="61"/>
      <c r="H798" s="61"/>
      <c r="I798" s="61"/>
      <c r="J798" s="61"/>
      <c r="K798" s="61"/>
    </row>
    <row r="799">
      <c r="C799" s="61"/>
      <c r="H799" s="61"/>
      <c r="I799" s="61"/>
      <c r="J799" s="61"/>
      <c r="K799" s="61"/>
    </row>
    <row r="800">
      <c r="C800" s="61"/>
      <c r="H800" s="61"/>
      <c r="I800" s="61"/>
      <c r="J800" s="61"/>
      <c r="K800" s="61"/>
    </row>
    <row r="801">
      <c r="C801" s="61"/>
      <c r="H801" s="61"/>
      <c r="I801" s="61"/>
      <c r="J801" s="61"/>
      <c r="K801" s="61"/>
    </row>
    <row r="802">
      <c r="C802" s="61"/>
      <c r="H802" s="61"/>
      <c r="I802" s="61"/>
      <c r="J802" s="61"/>
      <c r="K802" s="61"/>
    </row>
    <row r="803">
      <c r="C803" s="61"/>
      <c r="H803" s="61"/>
      <c r="I803" s="61"/>
      <c r="J803" s="61"/>
      <c r="K803" s="61"/>
    </row>
    <row r="804">
      <c r="C804" s="61"/>
      <c r="H804" s="61"/>
      <c r="I804" s="61"/>
      <c r="J804" s="61"/>
      <c r="K804" s="61"/>
    </row>
    <row r="805">
      <c r="C805" s="61"/>
      <c r="H805" s="61"/>
      <c r="I805" s="61"/>
      <c r="J805" s="61"/>
      <c r="K805" s="61"/>
    </row>
    <row r="806">
      <c r="C806" s="61"/>
      <c r="H806" s="61"/>
      <c r="I806" s="61"/>
      <c r="J806" s="61"/>
      <c r="K806" s="61"/>
    </row>
    <row r="807">
      <c r="C807" s="61"/>
      <c r="H807" s="61"/>
      <c r="I807" s="61"/>
      <c r="J807" s="61"/>
      <c r="K807" s="61"/>
    </row>
    <row r="808">
      <c r="C808" s="61"/>
      <c r="H808" s="61"/>
      <c r="I808" s="61"/>
      <c r="J808" s="61"/>
      <c r="K808" s="61"/>
    </row>
    <row r="809">
      <c r="C809" s="61"/>
      <c r="H809" s="61"/>
      <c r="I809" s="61"/>
      <c r="J809" s="61"/>
      <c r="K809" s="61"/>
    </row>
    <row r="810">
      <c r="C810" s="61"/>
      <c r="H810" s="61"/>
      <c r="I810" s="61"/>
      <c r="J810" s="61"/>
      <c r="K810" s="61"/>
    </row>
    <row r="811">
      <c r="C811" s="61"/>
      <c r="H811" s="61"/>
      <c r="I811" s="61"/>
      <c r="J811" s="61"/>
      <c r="K811" s="61"/>
    </row>
    <row r="812">
      <c r="C812" s="61"/>
      <c r="H812" s="61"/>
      <c r="I812" s="61"/>
      <c r="J812" s="61"/>
      <c r="K812" s="61"/>
    </row>
    <row r="813">
      <c r="C813" s="61"/>
      <c r="H813" s="61"/>
      <c r="I813" s="61"/>
      <c r="J813" s="61"/>
      <c r="K813" s="61"/>
    </row>
    <row r="814">
      <c r="C814" s="61"/>
      <c r="H814" s="61"/>
      <c r="I814" s="61"/>
      <c r="J814" s="61"/>
      <c r="K814" s="61"/>
    </row>
    <row r="815">
      <c r="C815" s="61"/>
      <c r="H815" s="61"/>
      <c r="I815" s="61"/>
      <c r="J815" s="61"/>
      <c r="K815" s="61"/>
    </row>
    <row r="816">
      <c r="C816" s="61"/>
      <c r="H816" s="61"/>
      <c r="I816" s="61"/>
      <c r="J816" s="61"/>
      <c r="K816" s="61"/>
    </row>
    <row r="817">
      <c r="C817" s="61"/>
      <c r="H817" s="61"/>
      <c r="I817" s="61"/>
      <c r="J817" s="61"/>
      <c r="K817" s="61"/>
    </row>
    <row r="818">
      <c r="C818" s="61"/>
      <c r="H818" s="61"/>
      <c r="I818" s="61"/>
      <c r="J818" s="61"/>
      <c r="K818" s="61"/>
    </row>
    <row r="819">
      <c r="C819" s="61"/>
      <c r="H819" s="61"/>
      <c r="I819" s="61"/>
      <c r="J819" s="61"/>
      <c r="K819" s="61"/>
    </row>
    <row r="820">
      <c r="C820" s="61"/>
      <c r="H820" s="61"/>
      <c r="I820" s="61"/>
      <c r="J820" s="61"/>
      <c r="K820" s="61"/>
    </row>
    <row r="821">
      <c r="C821" s="61"/>
      <c r="H821" s="61"/>
      <c r="I821" s="61"/>
      <c r="J821" s="61"/>
      <c r="K821" s="61"/>
    </row>
    <row r="822">
      <c r="C822" s="61"/>
      <c r="H822" s="61"/>
      <c r="I822" s="61"/>
      <c r="J822" s="61"/>
      <c r="K822" s="61"/>
    </row>
    <row r="823">
      <c r="C823" s="61"/>
      <c r="H823" s="61"/>
      <c r="I823" s="61"/>
      <c r="J823" s="61"/>
      <c r="K823" s="61"/>
    </row>
    <row r="824">
      <c r="C824" s="61"/>
      <c r="H824" s="61"/>
      <c r="I824" s="61"/>
      <c r="J824" s="61"/>
      <c r="K824" s="61"/>
    </row>
    <row r="825">
      <c r="C825" s="61"/>
      <c r="H825" s="61"/>
      <c r="I825" s="61"/>
      <c r="J825" s="61"/>
      <c r="K825" s="61"/>
    </row>
    <row r="826">
      <c r="C826" s="61"/>
      <c r="H826" s="61"/>
      <c r="I826" s="61"/>
      <c r="J826" s="61"/>
      <c r="K826" s="61"/>
    </row>
    <row r="827">
      <c r="C827" s="61"/>
      <c r="H827" s="61"/>
      <c r="I827" s="61"/>
      <c r="J827" s="61"/>
      <c r="K827" s="61"/>
    </row>
    <row r="828">
      <c r="C828" s="61"/>
      <c r="H828" s="61"/>
      <c r="I828" s="61"/>
      <c r="J828" s="61"/>
      <c r="K828" s="61"/>
    </row>
    <row r="829">
      <c r="C829" s="61"/>
      <c r="H829" s="61"/>
      <c r="I829" s="61"/>
      <c r="J829" s="61"/>
      <c r="K829" s="61"/>
    </row>
    <row r="830">
      <c r="C830" s="61"/>
      <c r="H830" s="61"/>
      <c r="I830" s="61"/>
      <c r="J830" s="61"/>
      <c r="K830" s="61"/>
    </row>
    <row r="831">
      <c r="C831" s="61"/>
      <c r="H831" s="61"/>
      <c r="I831" s="61"/>
      <c r="J831" s="61"/>
      <c r="K831" s="61"/>
    </row>
    <row r="832">
      <c r="C832" s="61"/>
      <c r="H832" s="61"/>
      <c r="I832" s="61"/>
      <c r="J832" s="61"/>
      <c r="K832" s="61"/>
    </row>
    <row r="833">
      <c r="C833" s="61"/>
      <c r="H833" s="61"/>
      <c r="I833" s="61"/>
      <c r="J833" s="61"/>
      <c r="K833" s="61"/>
    </row>
    <row r="834">
      <c r="C834" s="61"/>
      <c r="H834" s="61"/>
      <c r="I834" s="61"/>
      <c r="J834" s="61"/>
      <c r="K834" s="61"/>
    </row>
    <row r="835">
      <c r="C835" s="61"/>
      <c r="H835" s="61"/>
      <c r="I835" s="61"/>
      <c r="J835" s="61"/>
      <c r="K835" s="61"/>
    </row>
    <row r="836">
      <c r="C836" s="61"/>
      <c r="H836" s="61"/>
      <c r="I836" s="61"/>
      <c r="J836" s="61"/>
      <c r="K836" s="61"/>
    </row>
    <row r="837">
      <c r="C837" s="61"/>
      <c r="H837" s="61"/>
      <c r="I837" s="61"/>
      <c r="J837" s="61"/>
      <c r="K837" s="61"/>
    </row>
    <row r="838">
      <c r="C838" s="61"/>
      <c r="H838" s="61"/>
      <c r="I838" s="61"/>
      <c r="J838" s="61"/>
      <c r="K838" s="61"/>
    </row>
    <row r="839">
      <c r="C839" s="61"/>
      <c r="H839" s="61"/>
      <c r="I839" s="61"/>
      <c r="J839" s="61"/>
      <c r="K839" s="61"/>
    </row>
    <row r="840">
      <c r="C840" s="61"/>
      <c r="H840" s="61"/>
      <c r="I840" s="61"/>
      <c r="J840" s="61"/>
      <c r="K840" s="61"/>
    </row>
    <row r="841">
      <c r="C841" s="61"/>
      <c r="H841" s="61"/>
      <c r="I841" s="61"/>
      <c r="J841" s="61"/>
      <c r="K841" s="61"/>
    </row>
    <row r="842">
      <c r="C842" s="61"/>
      <c r="H842" s="61"/>
      <c r="I842" s="61"/>
      <c r="J842" s="61"/>
      <c r="K842" s="61"/>
    </row>
    <row r="843">
      <c r="C843" s="61"/>
      <c r="H843" s="61"/>
      <c r="I843" s="61"/>
      <c r="J843" s="61"/>
      <c r="K843" s="61"/>
    </row>
    <row r="844">
      <c r="C844" s="61"/>
      <c r="H844" s="61"/>
      <c r="I844" s="61"/>
      <c r="J844" s="61"/>
      <c r="K844" s="61"/>
    </row>
    <row r="845">
      <c r="C845" s="61"/>
      <c r="H845" s="61"/>
      <c r="I845" s="61"/>
      <c r="J845" s="61"/>
      <c r="K845" s="61"/>
    </row>
    <row r="846">
      <c r="C846" s="61"/>
      <c r="H846" s="61"/>
      <c r="I846" s="61"/>
      <c r="J846" s="61"/>
      <c r="K846" s="61"/>
    </row>
    <row r="847">
      <c r="C847" s="61"/>
      <c r="H847" s="61"/>
      <c r="I847" s="61"/>
      <c r="J847" s="61"/>
      <c r="K847" s="61"/>
    </row>
    <row r="848">
      <c r="C848" s="61"/>
      <c r="H848" s="61"/>
      <c r="I848" s="61"/>
      <c r="J848" s="61"/>
      <c r="K848" s="61"/>
    </row>
    <row r="849">
      <c r="C849" s="61"/>
      <c r="H849" s="61"/>
      <c r="I849" s="61"/>
      <c r="J849" s="61"/>
      <c r="K849" s="61"/>
    </row>
    <row r="850">
      <c r="C850" s="61"/>
      <c r="H850" s="61"/>
      <c r="I850" s="61"/>
      <c r="J850" s="61"/>
      <c r="K850" s="61"/>
    </row>
    <row r="851">
      <c r="C851" s="61"/>
      <c r="H851" s="61"/>
      <c r="I851" s="61"/>
      <c r="J851" s="61"/>
      <c r="K851" s="61"/>
    </row>
    <row r="852">
      <c r="C852" s="61"/>
      <c r="H852" s="61"/>
      <c r="I852" s="61"/>
      <c r="J852" s="61"/>
      <c r="K852" s="61"/>
    </row>
    <row r="853">
      <c r="C853" s="61"/>
      <c r="H853" s="61"/>
      <c r="I853" s="61"/>
      <c r="J853" s="61"/>
      <c r="K853" s="61"/>
    </row>
    <row r="854">
      <c r="C854" s="61"/>
      <c r="H854" s="61"/>
      <c r="I854" s="61"/>
      <c r="J854" s="61"/>
      <c r="K854" s="61"/>
    </row>
    <row r="855">
      <c r="C855" s="61"/>
      <c r="H855" s="61"/>
      <c r="I855" s="61"/>
      <c r="J855" s="61"/>
      <c r="K855" s="61"/>
    </row>
    <row r="856">
      <c r="C856" s="61"/>
      <c r="H856" s="61"/>
      <c r="I856" s="61"/>
      <c r="J856" s="61"/>
      <c r="K856" s="61"/>
    </row>
    <row r="857">
      <c r="C857" s="61"/>
      <c r="H857" s="61"/>
      <c r="I857" s="61"/>
      <c r="J857" s="61"/>
      <c r="K857" s="61"/>
    </row>
    <row r="858">
      <c r="C858" s="61"/>
      <c r="H858" s="61"/>
      <c r="I858" s="61"/>
      <c r="J858" s="61"/>
      <c r="K858" s="61"/>
    </row>
    <row r="859">
      <c r="C859" s="61"/>
      <c r="H859" s="61"/>
      <c r="I859" s="61"/>
      <c r="J859" s="61"/>
      <c r="K859" s="61"/>
    </row>
    <row r="860">
      <c r="C860" s="61"/>
      <c r="H860" s="61"/>
      <c r="I860" s="61"/>
      <c r="J860" s="61"/>
      <c r="K860" s="61"/>
    </row>
    <row r="861">
      <c r="C861" s="61"/>
      <c r="H861" s="61"/>
      <c r="I861" s="61"/>
      <c r="J861" s="61"/>
      <c r="K861" s="61"/>
    </row>
    <row r="862">
      <c r="C862" s="61"/>
      <c r="H862" s="61"/>
      <c r="I862" s="61"/>
      <c r="J862" s="61"/>
      <c r="K862" s="61"/>
    </row>
    <row r="863">
      <c r="C863" s="61"/>
      <c r="H863" s="61"/>
      <c r="I863" s="61"/>
      <c r="J863" s="61"/>
      <c r="K863" s="61"/>
    </row>
    <row r="864">
      <c r="C864" s="61"/>
      <c r="H864" s="61"/>
      <c r="I864" s="61"/>
      <c r="J864" s="61"/>
      <c r="K864" s="61"/>
    </row>
    <row r="865">
      <c r="C865" s="61"/>
      <c r="H865" s="61"/>
      <c r="I865" s="61"/>
      <c r="J865" s="61"/>
      <c r="K865" s="61"/>
    </row>
    <row r="866">
      <c r="C866" s="61"/>
      <c r="H866" s="61"/>
      <c r="I866" s="61"/>
      <c r="J866" s="61"/>
      <c r="K866" s="61"/>
    </row>
    <row r="867">
      <c r="C867" s="61"/>
      <c r="H867" s="61"/>
      <c r="I867" s="61"/>
      <c r="J867" s="61"/>
      <c r="K867" s="61"/>
    </row>
    <row r="868">
      <c r="C868" s="61"/>
      <c r="H868" s="61"/>
      <c r="I868" s="61"/>
      <c r="J868" s="61"/>
      <c r="K868" s="61"/>
    </row>
    <row r="869">
      <c r="C869" s="61"/>
      <c r="H869" s="61"/>
      <c r="I869" s="61"/>
      <c r="J869" s="61"/>
      <c r="K869" s="61"/>
    </row>
    <row r="870">
      <c r="C870" s="61"/>
      <c r="H870" s="61"/>
      <c r="I870" s="61"/>
      <c r="J870" s="61"/>
      <c r="K870" s="61"/>
    </row>
    <row r="871">
      <c r="C871" s="61"/>
      <c r="H871" s="61"/>
      <c r="I871" s="61"/>
      <c r="J871" s="61"/>
      <c r="K871" s="61"/>
    </row>
    <row r="872">
      <c r="C872" s="61"/>
      <c r="H872" s="61"/>
      <c r="I872" s="61"/>
      <c r="J872" s="61"/>
      <c r="K872" s="61"/>
    </row>
    <row r="873">
      <c r="C873" s="61"/>
      <c r="H873" s="61"/>
      <c r="I873" s="61"/>
      <c r="J873" s="61"/>
      <c r="K873" s="61"/>
    </row>
    <row r="874">
      <c r="C874" s="61"/>
      <c r="H874" s="61"/>
      <c r="I874" s="61"/>
      <c r="J874" s="61"/>
      <c r="K874" s="61"/>
    </row>
    <row r="875">
      <c r="C875" s="61"/>
      <c r="H875" s="61"/>
      <c r="I875" s="61"/>
      <c r="J875" s="61"/>
      <c r="K875" s="61"/>
    </row>
    <row r="876">
      <c r="C876" s="61"/>
      <c r="H876" s="61"/>
      <c r="I876" s="61"/>
      <c r="J876" s="61"/>
      <c r="K876" s="61"/>
    </row>
    <row r="877">
      <c r="C877" s="61"/>
      <c r="H877" s="61"/>
      <c r="I877" s="61"/>
      <c r="J877" s="61"/>
      <c r="K877" s="61"/>
    </row>
    <row r="878">
      <c r="C878" s="61"/>
      <c r="H878" s="61"/>
      <c r="I878" s="61"/>
      <c r="J878" s="61"/>
      <c r="K878" s="61"/>
    </row>
    <row r="879">
      <c r="C879" s="61"/>
      <c r="H879" s="61"/>
      <c r="I879" s="61"/>
      <c r="J879" s="61"/>
      <c r="K879" s="61"/>
    </row>
    <row r="880">
      <c r="C880" s="61"/>
      <c r="H880" s="61"/>
      <c r="I880" s="61"/>
      <c r="J880" s="61"/>
      <c r="K880" s="61"/>
    </row>
    <row r="881">
      <c r="C881" s="61"/>
      <c r="H881" s="61"/>
      <c r="I881" s="61"/>
      <c r="J881" s="61"/>
      <c r="K881" s="61"/>
    </row>
    <row r="882">
      <c r="C882" s="61"/>
      <c r="H882" s="61"/>
      <c r="I882" s="61"/>
      <c r="J882" s="61"/>
      <c r="K882" s="61"/>
    </row>
    <row r="883">
      <c r="C883" s="61"/>
      <c r="H883" s="61"/>
      <c r="I883" s="61"/>
      <c r="J883" s="61"/>
      <c r="K883" s="61"/>
    </row>
    <row r="884">
      <c r="C884" s="61"/>
      <c r="H884" s="61"/>
      <c r="I884" s="61"/>
      <c r="J884" s="61"/>
      <c r="K884" s="61"/>
    </row>
    <row r="885">
      <c r="C885" s="61"/>
      <c r="H885" s="61"/>
      <c r="I885" s="61"/>
      <c r="J885" s="61"/>
      <c r="K885" s="61"/>
    </row>
    <row r="886">
      <c r="C886" s="61"/>
      <c r="H886" s="61"/>
      <c r="I886" s="61"/>
      <c r="J886" s="61"/>
      <c r="K886" s="61"/>
    </row>
    <row r="887">
      <c r="C887" s="61"/>
      <c r="H887" s="61"/>
      <c r="I887" s="61"/>
      <c r="J887" s="61"/>
      <c r="K887" s="61"/>
    </row>
    <row r="888">
      <c r="C888" s="61"/>
      <c r="H888" s="61"/>
      <c r="I888" s="61"/>
      <c r="J888" s="61"/>
      <c r="K888" s="61"/>
    </row>
    <row r="889">
      <c r="C889" s="61"/>
      <c r="H889" s="61"/>
      <c r="I889" s="61"/>
      <c r="J889" s="61"/>
      <c r="K889" s="61"/>
    </row>
    <row r="890">
      <c r="C890" s="61"/>
      <c r="H890" s="61"/>
      <c r="I890" s="61"/>
      <c r="J890" s="61"/>
      <c r="K890" s="61"/>
    </row>
    <row r="891">
      <c r="C891" s="61"/>
      <c r="H891" s="61"/>
      <c r="I891" s="61"/>
      <c r="J891" s="61"/>
      <c r="K891" s="61"/>
    </row>
    <row r="892">
      <c r="C892" s="61"/>
      <c r="H892" s="61"/>
      <c r="I892" s="61"/>
      <c r="J892" s="61"/>
      <c r="K892" s="61"/>
    </row>
    <row r="893">
      <c r="C893" s="61"/>
      <c r="H893" s="61"/>
      <c r="I893" s="61"/>
      <c r="J893" s="61"/>
      <c r="K893" s="61"/>
    </row>
    <row r="894">
      <c r="C894" s="61"/>
      <c r="H894" s="61"/>
      <c r="I894" s="61"/>
      <c r="J894" s="61"/>
      <c r="K894" s="61"/>
    </row>
    <row r="895">
      <c r="C895" s="61"/>
      <c r="H895" s="61"/>
      <c r="I895" s="61"/>
      <c r="J895" s="61"/>
      <c r="K895" s="61"/>
    </row>
    <row r="896">
      <c r="C896" s="61"/>
      <c r="H896" s="61"/>
      <c r="I896" s="61"/>
      <c r="J896" s="61"/>
      <c r="K896" s="61"/>
    </row>
    <row r="897">
      <c r="C897" s="61"/>
      <c r="H897" s="61"/>
      <c r="I897" s="61"/>
      <c r="J897" s="61"/>
      <c r="K897" s="61"/>
    </row>
    <row r="898">
      <c r="C898" s="61"/>
      <c r="H898" s="61"/>
      <c r="I898" s="61"/>
      <c r="J898" s="61"/>
      <c r="K898" s="61"/>
    </row>
    <row r="899">
      <c r="C899" s="61"/>
      <c r="H899" s="61"/>
      <c r="I899" s="61"/>
      <c r="J899" s="61"/>
      <c r="K899" s="61"/>
    </row>
    <row r="900">
      <c r="C900" s="61"/>
      <c r="H900" s="61"/>
      <c r="I900" s="61"/>
      <c r="J900" s="61"/>
      <c r="K900" s="61"/>
    </row>
    <row r="901">
      <c r="C901" s="61"/>
      <c r="H901" s="61"/>
      <c r="I901" s="61"/>
      <c r="J901" s="61"/>
      <c r="K901" s="61"/>
    </row>
    <row r="902">
      <c r="C902" s="61"/>
      <c r="H902" s="61"/>
      <c r="I902" s="61"/>
      <c r="J902" s="61"/>
      <c r="K902" s="61"/>
    </row>
    <row r="903">
      <c r="C903" s="61"/>
      <c r="H903" s="61"/>
      <c r="I903" s="61"/>
      <c r="J903" s="61"/>
      <c r="K903" s="61"/>
    </row>
    <row r="904">
      <c r="C904" s="61"/>
      <c r="H904" s="61"/>
      <c r="I904" s="61"/>
      <c r="J904" s="61"/>
      <c r="K904" s="61"/>
    </row>
    <row r="905">
      <c r="C905" s="61"/>
      <c r="H905" s="61"/>
      <c r="I905" s="61"/>
      <c r="J905" s="61"/>
      <c r="K905" s="61"/>
    </row>
    <row r="906">
      <c r="C906" s="61"/>
      <c r="H906" s="61"/>
      <c r="I906" s="61"/>
      <c r="J906" s="61"/>
      <c r="K906" s="61"/>
    </row>
    <row r="907">
      <c r="C907" s="61"/>
      <c r="H907" s="61"/>
      <c r="I907" s="61"/>
      <c r="J907" s="61"/>
      <c r="K907" s="61"/>
    </row>
    <row r="908">
      <c r="C908" s="61"/>
      <c r="H908" s="61"/>
      <c r="I908" s="61"/>
      <c r="J908" s="61"/>
      <c r="K908" s="61"/>
    </row>
    <row r="909">
      <c r="C909" s="61"/>
      <c r="H909" s="61"/>
      <c r="I909" s="61"/>
      <c r="J909" s="61"/>
      <c r="K909" s="61"/>
    </row>
    <row r="910">
      <c r="C910" s="61"/>
      <c r="H910" s="61"/>
      <c r="I910" s="61"/>
      <c r="J910" s="61"/>
      <c r="K910" s="61"/>
    </row>
    <row r="911">
      <c r="C911" s="61"/>
      <c r="H911" s="61"/>
      <c r="I911" s="61"/>
      <c r="J911" s="61"/>
      <c r="K911" s="61"/>
    </row>
    <row r="912">
      <c r="C912" s="61"/>
      <c r="H912" s="61"/>
      <c r="I912" s="61"/>
      <c r="J912" s="61"/>
      <c r="K912" s="61"/>
    </row>
    <row r="913">
      <c r="C913" s="61"/>
      <c r="H913" s="61"/>
      <c r="I913" s="61"/>
      <c r="J913" s="61"/>
      <c r="K913" s="61"/>
    </row>
    <row r="914">
      <c r="C914" s="61"/>
      <c r="H914" s="61"/>
      <c r="I914" s="61"/>
      <c r="J914" s="61"/>
      <c r="K914" s="61"/>
    </row>
    <row r="915">
      <c r="C915" s="61"/>
      <c r="H915" s="61"/>
      <c r="I915" s="61"/>
      <c r="J915" s="61"/>
      <c r="K915" s="61"/>
    </row>
    <row r="916">
      <c r="C916" s="61"/>
      <c r="H916" s="61"/>
      <c r="I916" s="61"/>
      <c r="J916" s="61"/>
      <c r="K916" s="61"/>
    </row>
    <row r="917">
      <c r="C917" s="61"/>
      <c r="H917" s="61"/>
      <c r="I917" s="61"/>
      <c r="J917" s="61"/>
      <c r="K917" s="61"/>
    </row>
    <row r="918">
      <c r="C918" s="61"/>
      <c r="H918" s="61"/>
      <c r="I918" s="61"/>
      <c r="J918" s="61"/>
      <c r="K918" s="61"/>
    </row>
    <row r="919">
      <c r="C919" s="61"/>
      <c r="H919" s="61"/>
      <c r="I919" s="61"/>
      <c r="J919" s="61"/>
      <c r="K919" s="61"/>
    </row>
    <row r="920">
      <c r="C920" s="61"/>
      <c r="H920" s="61"/>
      <c r="I920" s="61"/>
      <c r="J920" s="61"/>
      <c r="K920" s="61"/>
    </row>
    <row r="921">
      <c r="C921" s="61"/>
      <c r="H921" s="61"/>
      <c r="I921" s="61"/>
      <c r="J921" s="61"/>
      <c r="K921" s="61"/>
    </row>
    <row r="922">
      <c r="C922" s="61"/>
      <c r="H922" s="61"/>
      <c r="I922" s="61"/>
      <c r="J922" s="61"/>
      <c r="K922" s="61"/>
    </row>
    <row r="923">
      <c r="C923" s="61"/>
      <c r="H923" s="61"/>
      <c r="I923" s="61"/>
      <c r="J923" s="61"/>
      <c r="K923" s="61"/>
    </row>
    <row r="924">
      <c r="C924" s="61"/>
      <c r="H924" s="61"/>
      <c r="I924" s="61"/>
      <c r="J924" s="61"/>
      <c r="K924" s="61"/>
    </row>
    <row r="925">
      <c r="C925" s="61"/>
      <c r="H925" s="61"/>
      <c r="I925" s="61"/>
      <c r="J925" s="61"/>
      <c r="K925" s="61"/>
    </row>
    <row r="926">
      <c r="C926" s="61"/>
      <c r="H926" s="61"/>
      <c r="I926" s="61"/>
      <c r="J926" s="61"/>
      <c r="K926" s="61"/>
    </row>
    <row r="927">
      <c r="C927" s="61"/>
      <c r="H927" s="61"/>
      <c r="I927" s="61"/>
      <c r="J927" s="61"/>
      <c r="K927" s="61"/>
    </row>
    <row r="928">
      <c r="C928" s="61"/>
      <c r="H928" s="61"/>
      <c r="I928" s="61"/>
      <c r="J928" s="61"/>
      <c r="K928" s="61"/>
    </row>
    <row r="929">
      <c r="C929" s="61"/>
      <c r="H929" s="61"/>
      <c r="I929" s="61"/>
      <c r="J929" s="61"/>
      <c r="K929" s="61"/>
    </row>
    <row r="930">
      <c r="C930" s="61"/>
      <c r="H930" s="61"/>
      <c r="I930" s="61"/>
      <c r="J930" s="61"/>
      <c r="K930" s="61"/>
    </row>
    <row r="931">
      <c r="C931" s="61"/>
      <c r="H931" s="61"/>
      <c r="I931" s="61"/>
      <c r="J931" s="61"/>
      <c r="K931" s="61"/>
    </row>
    <row r="932">
      <c r="C932" s="61"/>
      <c r="H932" s="61"/>
      <c r="I932" s="61"/>
      <c r="J932" s="61"/>
      <c r="K932" s="61"/>
    </row>
    <row r="933">
      <c r="C933" s="61"/>
      <c r="H933" s="61"/>
      <c r="I933" s="61"/>
      <c r="J933" s="61"/>
      <c r="K933" s="61"/>
    </row>
    <row r="934">
      <c r="C934" s="61"/>
      <c r="H934" s="61"/>
      <c r="I934" s="61"/>
      <c r="J934" s="61"/>
      <c r="K934" s="61"/>
    </row>
    <row r="935">
      <c r="C935" s="61"/>
      <c r="H935" s="61"/>
      <c r="I935" s="61"/>
      <c r="J935" s="61"/>
      <c r="K935" s="61"/>
    </row>
    <row r="936">
      <c r="C936" s="61"/>
      <c r="H936" s="61"/>
      <c r="I936" s="61"/>
      <c r="J936" s="61"/>
      <c r="K936" s="61"/>
    </row>
    <row r="937">
      <c r="C937" s="61"/>
      <c r="H937" s="61"/>
      <c r="I937" s="61"/>
      <c r="J937" s="61"/>
      <c r="K937" s="61"/>
    </row>
    <row r="938">
      <c r="C938" s="61"/>
      <c r="H938" s="61"/>
      <c r="I938" s="61"/>
      <c r="J938" s="61"/>
      <c r="K938" s="61"/>
    </row>
    <row r="939">
      <c r="C939" s="61"/>
      <c r="H939" s="61"/>
      <c r="I939" s="61"/>
      <c r="J939" s="61"/>
      <c r="K939" s="61"/>
    </row>
    <row r="940">
      <c r="C940" s="61"/>
      <c r="H940" s="61"/>
      <c r="I940" s="61"/>
      <c r="J940" s="61"/>
      <c r="K940" s="61"/>
    </row>
    <row r="941">
      <c r="C941" s="61"/>
      <c r="H941" s="61"/>
      <c r="I941" s="61"/>
      <c r="J941" s="61"/>
      <c r="K941" s="61"/>
    </row>
    <row r="942">
      <c r="C942" s="61"/>
      <c r="H942" s="61"/>
      <c r="I942" s="61"/>
      <c r="J942" s="61"/>
      <c r="K942" s="61"/>
    </row>
    <row r="943">
      <c r="C943" s="61"/>
      <c r="H943" s="61"/>
      <c r="I943" s="61"/>
      <c r="J943" s="61"/>
      <c r="K943" s="61"/>
    </row>
    <row r="944">
      <c r="C944" s="61"/>
      <c r="H944" s="61"/>
      <c r="I944" s="61"/>
      <c r="J944" s="61"/>
      <c r="K944" s="61"/>
    </row>
    <row r="945">
      <c r="C945" s="61"/>
      <c r="H945" s="61"/>
      <c r="I945" s="61"/>
      <c r="J945" s="61"/>
      <c r="K945" s="61"/>
    </row>
    <row r="946">
      <c r="C946" s="61"/>
      <c r="H946" s="61"/>
      <c r="I946" s="61"/>
      <c r="J946" s="61"/>
      <c r="K946" s="61"/>
    </row>
    <row r="947">
      <c r="C947" s="61"/>
      <c r="H947" s="61"/>
      <c r="I947" s="61"/>
      <c r="J947" s="61"/>
      <c r="K947" s="61"/>
    </row>
    <row r="948">
      <c r="C948" s="61"/>
      <c r="H948" s="61"/>
      <c r="I948" s="61"/>
      <c r="J948" s="61"/>
      <c r="K948" s="61"/>
    </row>
    <row r="949">
      <c r="C949" s="61"/>
      <c r="H949" s="61"/>
      <c r="I949" s="61"/>
      <c r="J949" s="61"/>
      <c r="K949" s="61"/>
    </row>
    <row r="950">
      <c r="C950" s="61"/>
      <c r="H950" s="61"/>
      <c r="I950" s="61"/>
      <c r="J950" s="61"/>
      <c r="K950" s="61"/>
    </row>
    <row r="951">
      <c r="C951" s="61"/>
      <c r="H951" s="61"/>
      <c r="I951" s="61"/>
      <c r="J951" s="61"/>
      <c r="K951" s="61"/>
    </row>
    <row r="952">
      <c r="C952" s="61"/>
      <c r="H952" s="61"/>
      <c r="I952" s="61"/>
      <c r="J952" s="61"/>
      <c r="K952" s="61"/>
    </row>
    <row r="953">
      <c r="C953" s="61"/>
      <c r="H953" s="61"/>
      <c r="I953" s="61"/>
      <c r="J953" s="61"/>
      <c r="K953" s="61"/>
    </row>
    <row r="954">
      <c r="C954" s="61"/>
      <c r="H954" s="61"/>
      <c r="I954" s="61"/>
      <c r="J954" s="61"/>
      <c r="K954" s="61"/>
    </row>
    <row r="955">
      <c r="C955" s="61"/>
      <c r="H955" s="61"/>
      <c r="I955" s="61"/>
      <c r="J955" s="61"/>
      <c r="K955" s="61"/>
    </row>
    <row r="956">
      <c r="C956" s="61"/>
      <c r="H956" s="61"/>
      <c r="I956" s="61"/>
      <c r="J956" s="61"/>
      <c r="K956" s="61"/>
    </row>
    <row r="957">
      <c r="C957" s="61"/>
      <c r="H957" s="61"/>
      <c r="I957" s="61"/>
      <c r="J957" s="61"/>
      <c r="K957" s="61"/>
    </row>
    <row r="958">
      <c r="C958" s="61"/>
      <c r="H958" s="61"/>
      <c r="I958" s="61"/>
      <c r="J958" s="61"/>
      <c r="K958" s="61"/>
    </row>
    <row r="959">
      <c r="C959" s="61"/>
      <c r="H959" s="61"/>
      <c r="I959" s="61"/>
      <c r="J959" s="61"/>
      <c r="K959" s="61"/>
    </row>
    <row r="960">
      <c r="C960" s="61"/>
      <c r="H960" s="61"/>
      <c r="I960" s="61"/>
      <c r="J960" s="61"/>
      <c r="K960" s="61"/>
    </row>
    <row r="961">
      <c r="C961" s="61"/>
      <c r="H961" s="61"/>
      <c r="I961" s="61"/>
      <c r="J961" s="61"/>
      <c r="K961" s="61"/>
    </row>
    <row r="962">
      <c r="C962" s="61"/>
      <c r="H962" s="61"/>
      <c r="I962" s="61"/>
      <c r="J962" s="61"/>
      <c r="K962" s="61"/>
    </row>
    <row r="963">
      <c r="C963" s="61"/>
      <c r="H963" s="61"/>
      <c r="I963" s="61"/>
      <c r="J963" s="61"/>
      <c r="K963" s="61"/>
    </row>
    <row r="964">
      <c r="C964" s="61"/>
      <c r="H964" s="61"/>
      <c r="I964" s="61"/>
      <c r="J964" s="61"/>
      <c r="K964" s="61"/>
    </row>
    <row r="965">
      <c r="C965" s="61"/>
      <c r="H965" s="61"/>
      <c r="I965" s="61"/>
      <c r="J965" s="61"/>
      <c r="K965" s="61"/>
    </row>
    <row r="966">
      <c r="C966" s="61"/>
      <c r="H966" s="61"/>
      <c r="I966" s="61"/>
      <c r="J966" s="61"/>
      <c r="K966" s="61"/>
    </row>
    <row r="967">
      <c r="C967" s="61"/>
      <c r="H967" s="61"/>
      <c r="I967" s="61"/>
      <c r="J967" s="61"/>
      <c r="K967" s="61"/>
    </row>
    <row r="968">
      <c r="C968" s="61"/>
      <c r="H968" s="61"/>
      <c r="I968" s="61"/>
      <c r="J968" s="61"/>
      <c r="K968" s="61"/>
    </row>
    <row r="969">
      <c r="C969" s="61"/>
      <c r="H969" s="61"/>
      <c r="I969" s="61"/>
      <c r="J969" s="61"/>
      <c r="K969" s="61"/>
    </row>
    <row r="970">
      <c r="C970" s="61"/>
      <c r="H970" s="61"/>
      <c r="I970" s="61"/>
      <c r="J970" s="61"/>
      <c r="K970" s="61"/>
    </row>
    <row r="971">
      <c r="C971" s="61"/>
      <c r="H971" s="61"/>
      <c r="I971" s="61"/>
      <c r="J971" s="61"/>
      <c r="K971" s="61"/>
    </row>
    <row r="972">
      <c r="C972" s="61"/>
      <c r="H972" s="61"/>
      <c r="I972" s="61"/>
      <c r="J972" s="61"/>
      <c r="K972" s="61"/>
    </row>
    <row r="973">
      <c r="C973" s="61"/>
      <c r="H973" s="61"/>
      <c r="I973" s="61"/>
      <c r="J973" s="61"/>
      <c r="K973" s="61"/>
    </row>
    <row r="974">
      <c r="C974" s="61"/>
      <c r="H974" s="61"/>
      <c r="I974" s="61"/>
      <c r="J974" s="61"/>
      <c r="K974" s="61"/>
    </row>
    <row r="975">
      <c r="C975" s="61"/>
      <c r="H975" s="61"/>
      <c r="I975" s="61"/>
      <c r="J975" s="61"/>
      <c r="K975" s="61"/>
    </row>
    <row r="976">
      <c r="C976" s="61"/>
      <c r="H976" s="61"/>
      <c r="I976" s="61"/>
      <c r="J976" s="61"/>
      <c r="K976" s="61"/>
    </row>
    <row r="977">
      <c r="C977" s="61"/>
      <c r="H977" s="61"/>
      <c r="I977" s="61"/>
      <c r="J977" s="61"/>
      <c r="K977" s="61"/>
    </row>
    <row r="978">
      <c r="C978" s="61"/>
      <c r="H978" s="61"/>
      <c r="I978" s="61"/>
      <c r="J978" s="61"/>
      <c r="K978" s="61"/>
    </row>
    <row r="979">
      <c r="C979" s="61"/>
      <c r="H979" s="61"/>
      <c r="I979" s="61"/>
      <c r="J979" s="61"/>
      <c r="K979" s="61"/>
    </row>
    <row r="980">
      <c r="C980" s="61"/>
      <c r="H980" s="61"/>
      <c r="I980" s="61"/>
      <c r="J980" s="61"/>
      <c r="K980" s="61"/>
    </row>
    <row r="981">
      <c r="C981" s="61"/>
      <c r="H981" s="61"/>
      <c r="I981" s="61"/>
      <c r="J981" s="61"/>
      <c r="K981" s="61"/>
    </row>
    <row r="982">
      <c r="C982" s="61"/>
      <c r="H982" s="61"/>
      <c r="I982" s="61"/>
      <c r="J982" s="61"/>
      <c r="K982" s="61"/>
    </row>
    <row r="983">
      <c r="C983" s="61"/>
      <c r="H983" s="61"/>
      <c r="I983" s="61"/>
      <c r="J983" s="61"/>
      <c r="K983" s="61"/>
    </row>
    <row r="984">
      <c r="C984" s="61"/>
      <c r="H984" s="61"/>
      <c r="I984" s="61"/>
      <c r="J984" s="61"/>
      <c r="K984" s="61"/>
    </row>
    <row r="985">
      <c r="C985" s="61"/>
      <c r="H985" s="61"/>
      <c r="I985" s="61"/>
      <c r="J985" s="61"/>
      <c r="K985" s="61"/>
    </row>
    <row r="986">
      <c r="C986" s="61"/>
      <c r="H986" s="61"/>
      <c r="I986" s="61"/>
      <c r="J986" s="61"/>
      <c r="K986" s="61"/>
    </row>
    <row r="987">
      <c r="C987" s="61"/>
      <c r="H987" s="61"/>
      <c r="I987" s="61"/>
      <c r="J987" s="61"/>
      <c r="K987" s="61"/>
    </row>
    <row r="988">
      <c r="C988" s="61"/>
      <c r="H988" s="61"/>
      <c r="I988" s="61"/>
      <c r="J988" s="61"/>
      <c r="K988" s="61"/>
    </row>
    <row r="989">
      <c r="C989" s="61"/>
      <c r="H989" s="61"/>
      <c r="I989" s="61"/>
      <c r="J989" s="61"/>
      <c r="K989" s="61"/>
    </row>
    <row r="990">
      <c r="C990" s="61"/>
      <c r="H990" s="61"/>
      <c r="I990" s="61"/>
      <c r="J990" s="61"/>
      <c r="K990" s="61"/>
    </row>
    <row r="991">
      <c r="C991" s="61"/>
      <c r="H991" s="61"/>
      <c r="I991" s="61"/>
      <c r="J991" s="61"/>
      <c r="K991" s="61"/>
    </row>
    <row r="992">
      <c r="C992" s="61"/>
      <c r="H992" s="61"/>
      <c r="I992" s="61"/>
      <c r="J992" s="61"/>
      <c r="K992" s="61"/>
    </row>
    <row r="993">
      <c r="C993" s="61"/>
      <c r="H993" s="61"/>
      <c r="I993" s="61"/>
      <c r="J993" s="61"/>
      <c r="K993" s="61"/>
    </row>
    <row r="994">
      <c r="C994" s="61"/>
      <c r="H994" s="61"/>
      <c r="I994" s="61"/>
      <c r="J994" s="61"/>
      <c r="K994" s="61"/>
    </row>
    <row r="995">
      <c r="C995" s="61"/>
      <c r="H995" s="61"/>
      <c r="I995" s="61"/>
      <c r="J995" s="61"/>
      <c r="K995" s="61"/>
    </row>
    <row r="996">
      <c r="C996" s="61"/>
      <c r="H996" s="61"/>
      <c r="I996" s="61"/>
      <c r="J996" s="61"/>
      <c r="K996" s="61"/>
    </row>
    <row r="997">
      <c r="C997" s="61"/>
      <c r="H997" s="61"/>
      <c r="I997" s="61"/>
      <c r="J997" s="61"/>
      <c r="K997" s="61"/>
    </row>
    <row r="998">
      <c r="C998" s="61"/>
      <c r="H998" s="61"/>
      <c r="I998" s="61"/>
      <c r="J998" s="61"/>
      <c r="K998" s="61"/>
    </row>
    <row r="999">
      <c r="C999" s="61"/>
      <c r="H999" s="61"/>
      <c r="I999" s="61"/>
      <c r="J999" s="61"/>
      <c r="K999" s="61"/>
    </row>
    <row r="1000">
      <c r="C1000" s="61"/>
      <c r="H1000" s="61"/>
      <c r="I1000" s="61"/>
      <c r="J1000" s="61"/>
      <c r="K1000" s="61"/>
    </row>
    <row r="1001">
      <c r="C1001" s="61"/>
      <c r="H1001" s="61"/>
      <c r="I1001" s="61"/>
      <c r="J1001" s="61"/>
      <c r="K1001" s="61"/>
    </row>
    <row r="1002">
      <c r="C1002" s="61"/>
      <c r="H1002" s="61"/>
      <c r="I1002" s="61"/>
      <c r="J1002" s="61"/>
      <c r="K1002" s="61"/>
    </row>
    <row r="1003">
      <c r="C1003" s="61"/>
      <c r="H1003" s="61"/>
      <c r="I1003" s="61"/>
      <c r="J1003" s="61"/>
      <c r="K1003" s="61"/>
    </row>
    <row r="1004">
      <c r="C1004" s="61"/>
      <c r="H1004" s="61"/>
      <c r="I1004" s="61"/>
      <c r="J1004" s="61"/>
      <c r="K1004" s="61"/>
    </row>
    <row r="1005">
      <c r="C1005" s="61"/>
      <c r="H1005" s="61"/>
      <c r="I1005" s="61"/>
      <c r="J1005" s="61"/>
      <c r="K1005" s="61"/>
    </row>
    <row r="1006">
      <c r="C1006" s="61"/>
      <c r="H1006" s="61"/>
      <c r="I1006" s="61"/>
      <c r="J1006" s="61"/>
      <c r="K1006" s="61"/>
    </row>
    <row r="1007">
      <c r="C1007" s="61"/>
      <c r="H1007" s="61"/>
      <c r="I1007" s="61"/>
      <c r="J1007" s="61"/>
      <c r="K1007" s="61"/>
    </row>
    <row r="1008">
      <c r="C1008" s="61"/>
      <c r="H1008" s="61"/>
      <c r="I1008" s="61"/>
      <c r="J1008" s="61"/>
      <c r="K1008" s="61"/>
    </row>
    <row r="1009">
      <c r="C1009" s="61"/>
      <c r="H1009" s="61"/>
      <c r="I1009" s="61"/>
      <c r="J1009" s="61"/>
      <c r="K1009" s="61"/>
    </row>
    <row r="1010">
      <c r="C1010" s="61"/>
      <c r="H1010" s="61"/>
      <c r="I1010" s="61"/>
      <c r="J1010" s="61"/>
      <c r="K1010" s="61"/>
    </row>
    <row r="1011">
      <c r="C1011" s="61"/>
      <c r="H1011" s="61"/>
      <c r="I1011" s="61"/>
      <c r="J1011" s="61"/>
      <c r="K1011" s="61"/>
    </row>
    <row r="1012">
      <c r="C1012" s="61"/>
      <c r="H1012" s="61"/>
      <c r="I1012" s="61"/>
      <c r="J1012" s="61"/>
      <c r="K1012" s="61"/>
    </row>
    <row r="1013">
      <c r="C1013" s="61"/>
      <c r="H1013" s="61"/>
      <c r="I1013" s="61"/>
      <c r="J1013" s="61"/>
      <c r="K1013" s="61"/>
    </row>
    <row r="1014">
      <c r="C1014" s="61"/>
      <c r="H1014" s="61"/>
      <c r="I1014" s="61"/>
      <c r="J1014" s="61"/>
      <c r="K1014" s="61"/>
    </row>
    <row r="1015">
      <c r="C1015" s="61"/>
      <c r="H1015" s="61"/>
      <c r="I1015" s="61"/>
      <c r="J1015" s="61"/>
      <c r="K1015" s="61"/>
    </row>
    <row r="1016">
      <c r="C1016" s="61"/>
      <c r="H1016" s="61"/>
      <c r="I1016" s="61"/>
      <c r="J1016" s="61"/>
      <c r="K1016" s="61"/>
    </row>
    <row r="1017">
      <c r="C1017" s="61"/>
      <c r="H1017" s="61"/>
      <c r="I1017" s="61"/>
      <c r="J1017" s="61"/>
      <c r="K1017" s="61"/>
    </row>
    <row r="1018">
      <c r="C1018" s="61"/>
      <c r="H1018" s="61"/>
      <c r="I1018" s="61"/>
      <c r="J1018" s="61"/>
      <c r="K1018" s="61"/>
    </row>
    <row r="1019">
      <c r="C1019" s="61"/>
      <c r="H1019" s="61"/>
      <c r="I1019" s="61"/>
      <c r="J1019" s="61"/>
      <c r="K1019" s="61"/>
    </row>
    <row r="1020">
      <c r="C1020" s="61"/>
      <c r="H1020" s="61"/>
      <c r="I1020" s="61"/>
      <c r="J1020" s="61"/>
      <c r="K1020" s="61"/>
    </row>
    <row r="1021">
      <c r="C1021" s="61"/>
      <c r="H1021" s="61"/>
      <c r="I1021" s="61"/>
      <c r="J1021" s="61"/>
      <c r="K1021" s="61"/>
    </row>
    <row r="1022">
      <c r="C1022" s="61"/>
      <c r="H1022" s="61"/>
      <c r="I1022" s="61"/>
      <c r="J1022" s="61"/>
      <c r="K1022" s="61"/>
    </row>
    <row r="1023">
      <c r="C1023" s="61"/>
      <c r="H1023" s="61"/>
      <c r="I1023" s="61"/>
      <c r="J1023" s="61"/>
      <c r="K1023" s="61"/>
    </row>
    <row r="1024">
      <c r="C1024" s="61"/>
      <c r="H1024" s="61"/>
      <c r="I1024" s="61"/>
      <c r="J1024" s="61"/>
      <c r="K1024" s="61"/>
    </row>
    <row r="1025">
      <c r="C1025" s="61"/>
      <c r="H1025" s="61"/>
      <c r="I1025" s="61"/>
      <c r="J1025" s="61"/>
      <c r="K1025" s="61"/>
    </row>
    <row r="1026">
      <c r="C1026" s="61"/>
      <c r="H1026" s="61"/>
      <c r="I1026" s="61"/>
      <c r="J1026" s="61"/>
      <c r="K1026" s="61"/>
    </row>
    <row r="1027">
      <c r="C1027" s="61"/>
      <c r="H1027" s="61"/>
      <c r="I1027" s="61"/>
      <c r="J1027" s="61"/>
      <c r="K1027" s="61"/>
    </row>
    <row r="1028">
      <c r="C1028" s="61"/>
      <c r="H1028" s="61"/>
      <c r="I1028" s="61"/>
      <c r="J1028" s="61"/>
      <c r="K1028" s="61"/>
    </row>
  </sheetData>
  <mergeCells count="22">
    <mergeCell ref="B9:B11"/>
    <mergeCell ref="B12:B14"/>
    <mergeCell ref="B15:B17"/>
    <mergeCell ref="B18:B20"/>
    <mergeCell ref="B21:B23"/>
    <mergeCell ref="B24:B26"/>
    <mergeCell ref="A1:A5"/>
    <mergeCell ref="B1:O1"/>
    <mergeCell ref="D2:F2"/>
    <mergeCell ref="D3:F3"/>
    <mergeCell ref="B4:O4"/>
    <mergeCell ref="A6:A32"/>
    <mergeCell ref="B6:B8"/>
    <mergeCell ref="C48:S48"/>
    <mergeCell ref="C49:S49"/>
    <mergeCell ref="B27:B29"/>
    <mergeCell ref="B30:B32"/>
    <mergeCell ref="B33:B35"/>
    <mergeCell ref="B36:B38"/>
    <mergeCell ref="B39:B41"/>
    <mergeCell ref="B42:B44"/>
    <mergeCell ref="B45:B4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9" t="s">
        <v>23</v>
      </c>
      <c r="U5" s="9" t="s">
        <v>24</v>
      </c>
      <c r="V5" s="9" t="s">
        <v>25</v>
      </c>
      <c r="W5" s="10" t="s">
        <v>26</v>
      </c>
      <c r="X5" s="11" t="s">
        <v>27</v>
      </c>
    </row>
    <row r="6" ht="22.5" customHeight="1">
      <c r="A6" s="1"/>
      <c r="B6" s="12">
        <v>0.0</v>
      </c>
      <c r="C6" s="13" t="s">
        <v>28</v>
      </c>
      <c r="D6" s="14">
        <v>45628.0</v>
      </c>
      <c r="E6" s="14">
        <v>45631.0</v>
      </c>
      <c r="F6" s="15">
        <v>45634.0</v>
      </c>
      <c r="G6" s="14">
        <v>45641.0</v>
      </c>
      <c r="H6" s="14">
        <v>45644.0</v>
      </c>
      <c r="I6" s="14">
        <v>45646.0</v>
      </c>
      <c r="J6" s="14">
        <v>45647.0</v>
      </c>
      <c r="K6" s="15">
        <v>45649.0</v>
      </c>
      <c r="L6" s="16"/>
      <c r="M6" s="16"/>
      <c r="N6" s="17"/>
      <c r="O6" s="17"/>
      <c r="P6" s="18"/>
      <c r="Q6" s="19"/>
      <c r="R6" s="19"/>
      <c r="S6" s="19"/>
      <c r="T6" s="18">
        <v>46003.0</v>
      </c>
      <c r="U6" s="19"/>
      <c r="V6" s="19"/>
      <c r="W6" s="19"/>
      <c r="X6" s="20"/>
      <c r="Y6" s="21"/>
      <c r="Z6" s="21"/>
      <c r="AA6" s="21"/>
      <c r="AB6" s="21"/>
      <c r="AC6" s="21"/>
      <c r="AD6" s="21"/>
      <c r="AE6" s="21"/>
      <c r="AF6" s="21"/>
    </row>
    <row r="7" ht="33.75" customHeight="1">
      <c r="B7" s="22"/>
      <c r="C7" s="23" t="s">
        <v>29</v>
      </c>
      <c r="D7" s="24">
        <v>2.0</v>
      </c>
      <c r="E7" s="24">
        <v>1.5</v>
      </c>
      <c r="F7" s="23">
        <v>0.0</v>
      </c>
      <c r="G7" s="24">
        <v>1.5</v>
      </c>
      <c r="H7" s="23">
        <v>2.0</v>
      </c>
      <c r="I7" s="24">
        <v>1.0</v>
      </c>
      <c r="J7" s="24">
        <v>2.0</v>
      </c>
      <c r="K7" s="23">
        <v>0.0</v>
      </c>
      <c r="L7" s="25"/>
      <c r="M7" s="25"/>
      <c r="N7" s="26"/>
      <c r="O7" s="26"/>
      <c r="P7" s="24"/>
      <c r="Q7" s="19"/>
      <c r="R7" s="19"/>
      <c r="S7" s="24"/>
      <c r="T7" s="24">
        <v>2.0</v>
      </c>
      <c r="U7" s="19"/>
      <c r="V7" s="19"/>
      <c r="W7" s="24">
        <f>SUM(G7:V7)</f>
        <v>8.5</v>
      </c>
      <c r="X7" s="27">
        <v>0.0</v>
      </c>
    </row>
    <row r="8" ht="33.75" customHeight="1">
      <c r="B8" s="28"/>
      <c r="C8" s="29" t="s">
        <v>30</v>
      </c>
      <c r="D8" s="25"/>
      <c r="E8" s="25"/>
      <c r="F8" s="29" t="s">
        <v>31</v>
      </c>
      <c r="G8" s="25"/>
      <c r="H8" s="29" t="s">
        <v>32</v>
      </c>
      <c r="I8" s="25"/>
      <c r="J8" s="25"/>
      <c r="K8" s="29" t="s">
        <v>33</v>
      </c>
      <c r="L8" s="25"/>
      <c r="M8" s="25"/>
      <c r="N8" s="26"/>
      <c r="O8" s="26"/>
      <c r="P8" s="24"/>
      <c r="Q8" s="19"/>
      <c r="R8" s="19"/>
      <c r="S8" s="24"/>
      <c r="T8" s="24"/>
      <c r="U8" s="19"/>
      <c r="V8" s="19"/>
      <c r="W8" s="24"/>
      <c r="X8" s="20"/>
    </row>
    <row r="9" ht="22.5" customHeight="1">
      <c r="B9" s="12">
        <v>1.0</v>
      </c>
      <c r="C9" s="30" t="s">
        <v>34</v>
      </c>
      <c r="D9" s="45">
        <v>45964.0</v>
      </c>
      <c r="E9" s="45">
        <v>45967.0</v>
      </c>
      <c r="F9" s="45">
        <v>45971.0</v>
      </c>
      <c r="G9" s="45">
        <v>45974.0</v>
      </c>
      <c r="H9" s="63">
        <v>45978.0</v>
      </c>
      <c r="I9" s="45">
        <v>45981.0</v>
      </c>
      <c r="J9" s="45">
        <v>45985.0</v>
      </c>
      <c r="K9" s="63">
        <v>45988.0</v>
      </c>
      <c r="L9" s="50"/>
      <c r="M9" s="46"/>
      <c r="N9" s="34"/>
      <c r="O9" s="34"/>
      <c r="P9" s="35"/>
      <c r="Q9" s="36"/>
      <c r="R9" s="36"/>
      <c r="S9" s="36"/>
      <c r="T9" s="36"/>
      <c r="U9" s="36"/>
      <c r="V9" s="36"/>
      <c r="W9" s="36"/>
      <c r="X9" s="20"/>
      <c r="Y9" s="21"/>
      <c r="Z9" s="21"/>
      <c r="AA9" s="21"/>
      <c r="AB9" s="21"/>
      <c r="AC9" s="21"/>
      <c r="AD9" s="21"/>
      <c r="AE9" s="21"/>
      <c r="AF9" s="21"/>
    </row>
    <row r="10" ht="22.5" customHeight="1">
      <c r="B10" s="22"/>
      <c r="C10" s="37" t="s">
        <v>29</v>
      </c>
      <c r="D10" s="38">
        <v>1.0</v>
      </c>
      <c r="E10" s="38">
        <v>1.5</v>
      </c>
      <c r="F10" s="38">
        <v>1.0</v>
      </c>
      <c r="G10" s="38">
        <v>1.5</v>
      </c>
      <c r="H10" s="38">
        <v>0.0</v>
      </c>
      <c r="I10" s="38">
        <v>1.5</v>
      </c>
      <c r="J10" s="38">
        <v>1.0</v>
      </c>
      <c r="K10" s="38">
        <v>0.0</v>
      </c>
      <c r="L10" s="38"/>
      <c r="M10" s="39"/>
      <c r="N10" s="40"/>
      <c r="O10" s="40"/>
      <c r="P10" s="36"/>
      <c r="Q10" s="36"/>
      <c r="R10" s="36"/>
      <c r="S10" s="41"/>
      <c r="T10" s="41"/>
      <c r="U10" s="41"/>
      <c r="V10" s="41"/>
      <c r="W10" s="41">
        <v>7.5</v>
      </c>
      <c r="X10" s="42">
        <f>W10*30000</f>
        <v>225000</v>
      </c>
    </row>
    <row r="11" ht="30.75" customHeight="1">
      <c r="B11" s="28"/>
      <c r="C11" s="43" t="s">
        <v>30</v>
      </c>
      <c r="D11" s="45"/>
      <c r="E11" s="45"/>
      <c r="F11" s="38"/>
      <c r="G11" s="45"/>
      <c r="H11" s="38" t="s">
        <v>73</v>
      </c>
      <c r="I11" s="45"/>
      <c r="J11" s="38"/>
      <c r="K11" s="43" t="s">
        <v>48</v>
      </c>
      <c r="L11" s="39"/>
      <c r="M11" s="39"/>
      <c r="N11" s="40"/>
      <c r="O11" s="40"/>
      <c r="P11" s="36"/>
      <c r="Q11" s="36"/>
      <c r="R11" s="36"/>
      <c r="S11" s="36"/>
      <c r="T11" s="36"/>
      <c r="U11" s="36"/>
      <c r="V11" s="36"/>
      <c r="W11" s="36"/>
      <c r="X11" s="20"/>
    </row>
    <row r="12" ht="22.5" customHeight="1">
      <c r="B12" s="12">
        <v>2.0</v>
      </c>
      <c r="C12" s="30" t="s">
        <v>60</v>
      </c>
      <c r="D12" s="45">
        <v>45964.0</v>
      </c>
      <c r="E12" s="45">
        <v>45967.0</v>
      </c>
      <c r="F12" s="45">
        <v>45971.0</v>
      </c>
      <c r="G12" s="45">
        <v>45974.0</v>
      </c>
      <c r="H12" s="63">
        <v>45978.0</v>
      </c>
      <c r="I12" s="45">
        <v>45981.0</v>
      </c>
      <c r="J12" s="45">
        <v>45985.0</v>
      </c>
      <c r="K12" s="63">
        <v>45988.0</v>
      </c>
      <c r="L12" s="50"/>
      <c r="M12" s="45"/>
      <c r="N12" s="45"/>
      <c r="O12" s="34"/>
      <c r="P12" s="36"/>
      <c r="Q12" s="36"/>
      <c r="R12" s="36"/>
      <c r="S12" s="36"/>
      <c r="T12" s="36"/>
      <c r="U12" s="36"/>
      <c r="V12" s="36"/>
      <c r="W12" s="36"/>
      <c r="X12" s="42"/>
      <c r="Y12" s="21"/>
      <c r="Z12" s="21"/>
      <c r="AA12" s="21"/>
      <c r="AB12" s="21"/>
      <c r="AC12" s="21"/>
      <c r="AD12" s="21"/>
      <c r="AE12" s="21"/>
      <c r="AF12" s="21"/>
    </row>
    <row r="13" ht="22.5" customHeight="1">
      <c r="B13" s="22"/>
      <c r="C13" s="37" t="s">
        <v>29</v>
      </c>
      <c r="D13" s="38">
        <v>2.0</v>
      </c>
      <c r="E13" s="38">
        <v>2.0</v>
      </c>
      <c r="F13" s="38">
        <v>2.0</v>
      </c>
      <c r="G13" s="38">
        <v>2.0</v>
      </c>
      <c r="H13" s="38">
        <v>0.0</v>
      </c>
      <c r="I13" s="38">
        <v>2.0</v>
      </c>
      <c r="J13" s="38">
        <v>2.0</v>
      </c>
      <c r="K13" s="38">
        <v>0.0</v>
      </c>
      <c r="L13" s="38"/>
      <c r="M13" s="38"/>
      <c r="N13" s="38"/>
      <c r="O13" s="40"/>
      <c r="P13" s="36"/>
      <c r="Q13" s="36"/>
      <c r="R13" s="36"/>
      <c r="S13" s="36"/>
      <c r="T13" s="36"/>
      <c r="U13" s="36"/>
      <c r="V13" s="36"/>
      <c r="W13" s="41">
        <v>12.0</v>
      </c>
      <c r="X13" s="42">
        <f>W13*30000</f>
        <v>360000</v>
      </c>
    </row>
    <row r="14" ht="29.25" customHeight="1">
      <c r="B14" s="28"/>
      <c r="C14" s="43" t="s">
        <v>30</v>
      </c>
      <c r="D14" s="45"/>
      <c r="E14" s="45"/>
      <c r="F14" s="45"/>
      <c r="G14" s="38"/>
      <c r="H14" s="38" t="s">
        <v>64</v>
      </c>
      <c r="I14" s="44"/>
      <c r="J14" s="44"/>
      <c r="K14" s="43" t="s">
        <v>49</v>
      </c>
      <c r="L14" s="38"/>
      <c r="M14" s="38"/>
      <c r="N14" s="40"/>
      <c r="O14" s="40"/>
      <c r="P14" s="36"/>
      <c r="Q14" s="36"/>
      <c r="R14" s="36"/>
      <c r="S14" s="36"/>
      <c r="T14" s="36"/>
      <c r="U14" s="36"/>
      <c r="V14" s="36"/>
      <c r="W14" s="36"/>
      <c r="X14" s="42"/>
    </row>
    <row r="15" ht="22.5" customHeight="1">
      <c r="B15" s="12">
        <v>3.0</v>
      </c>
      <c r="C15" s="30" t="s">
        <v>37</v>
      </c>
      <c r="D15" s="45">
        <v>45962.0</v>
      </c>
      <c r="E15" s="45">
        <v>45969.0</v>
      </c>
      <c r="F15" s="63">
        <v>45976.0</v>
      </c>
      <c r="G15" s="45">
        <v>45983.0</v>
      </c>
      <c r="H15" s="45">
        <v>45990.0</v>
      </c>
      <c r="I15" s="50"/>
      <c r="J15" s="50"/>
      <c r="K15" s="50"/>
      <c r="L15" s="46"/>
      <c r="M15" s="46"/>
      <c r="N15" s="34"/>
      <c r="O15" s="34"/>
      <c r="P15" s="36"/>
      <c r="Q15" s="36"/>
      <c r="R15" s="36"/>
      <c r="S15" s="36"/>
      <c r="T15" s="36"/>
      <c r="U15" s="36"/>
      <c r="V15" s="36"/>
      <c r="W15" s="36"/>
      <c r="X15" s="20"/>
      <c r="Y15" s="21"/>
      <c r="Z15" s="21"/>
      <c r="AA15" s="21"/>
      <c r="AB15" s="21"/>
      <c r="AC15" s="21"/>
      <c r="AD15" s="21"/>
      <c r="AE15" s="21"/>
      <c r="AF15" s="21"/>
    </row>
    <row r="16" ht="22.5" customHeight="1">
      <c r="B16" s="22"/>
      <c r="C16" s="37" t="s">
        <v>29</v>
      </c>
      <c r="D16" s="38">
        <v>1.0</v>
      </c>
      <c r="E16" s="38">
        <v>1.0</v>
      </c>
      <c r="F16" s="38">
        <v>0.0</v>
      </c>
      <c r="G16" s="38">
        <v>1.0</v>
      </c>
      <c r="H16" s="38">
        <v>1.0</v>
      </c>
      <c r="I16" s="45"/>
      <c r="J16" s="45"/>
      <c r="K16" s="45"/>
      <c r="L16" s="39"/>
      <c r="M16" s="39"/>
      <c r="N16" s="40"/>
      <c r="O16" s="40"/>
      <c r="P16" s="49"/>
      <c r="Q16" s="49"/>
      <c r="R16" s="49"/>
      <c r="S16" s="36"/>
      <c r="T16" s="36"/>
      <c r="U16" s="36"/>
      <c r="V16" s="36"/>
      <c r="W16" s="41">
        <v>4.0</v>
      </c>
      <c r="X16" s="42">
        <f>W16*30000</f>
        <v>120000</v>
      </c>
    </row>
    <row r="17" ht="36.0" customHeight="1">
      <c r="B17" s="28"/>
      <c r="C17" s="43" t="s">
        <v>30</v>
      </c>
      <c r="D17" s="45"/>
      <c r="E17" s="45"/>
      <c r="F17" s="38" t="s">
        <v>73</v>
      </c>
      <c r="G17" s="44"/>
      <c r="H17" s="45"/>
      <c r="I17" s="45"/>
      <c r="J17" s="45"/>
      <c r="K17" s="45"/>
      <c r="L17" s="39"/>
      <c r="M17" s="39"/>
      <c r="N17" s="40"/>
      <c r="O17" s="40"/>
      <c r="P17" s="49"/>
      <c r="Q17" s="49"/>
      <c r="R17" s="49"/>
      <c r="S17" s="36"/>
      <c r="T17" s="36"/>
      <c r="U17" s="36"/>
      <c r="V17" s="36"/>
      <c r="W17" s="36"/>
      <c r="X17" s="42"/>
    </row>
    <row r="18" ht="22.5" customHeight="1">
      <c r="B18" s="12">
        <v>4.0</v>
      </c>
      <c r="C18" s="30" t="s">
        <v>39</v>
      </c>
      <c r="D18" s="45">
        <v>45966.0</v>
      </c>
      <c r="E18" s="45">
        <v>45971.0</v>
      </c>
      <c r="F18" s="72">
        <v>45973.0</v>
      </c>
      <c r="G18" s="63">
        <v>45978.0</v>
      </c>
      <c r="H18" s="45">
        <v>45980.0</v>
      </c>
      <c r="I18" s="45">
        <v>45985.0</v>
      </c>
      <c r="J18" s="45">
        <v>45987.0</v>
      </c>
      <c r="K18" s="50"/>
      <c r="L18" s="50"/>
      <c r="M18" s="50"/>
      <c r="N18" s="45"/>
      <c r="O18" s="34"/>
      <c r="P18" s="49"/>
      <c r="Q18" s="49"/>
      <c r="R18" s="49"/>
      <c r="S18" s="36"/>
      <c r="T18" s="36"/>
      <c r="U18" s="36"/>
      <c r="V18" s="36"/>
      <c r="W18" s="36"/>
      <c r="X18" s="20"/>
      <c r="Y18" s="21"/>
      <c r="Z18" s="21"/>
      <c r="AA18" s="21"/>
      <c r="AB18" s="21"/>
      <c r="AC18" s="21"/>
      <c r="AD18" s="21"/>
      <c r="AE18" s="21"/>
      <c r="AF18" s="21"/>
    </row>
    <row r="19" ht="22.5" customHeight="1">
      <c r="B19" s="22"/>
      <c r="C19" s="43" t="s">
        <v>29</v>
      </c>
      <c r="D19" s="38">
        <v>1.0</v>
      </c>
      <c r="E19" s="38">
        <v>1.0</v>
      </c>
      <c r="F19" s="38">
        <v>1.0</v>
      </c>
      <c r="G19" s="38">
        <v>0.0</v>
      </c>
      <c r="H19" s="38">
        <v>1.0</v>
      </c>
      <c r="I19" s="38">
        <v>1.0</v>
      </c>
      <c r="J19" s="38">
        <v>1.0</v>
      </c>
      <c r="K19" s="38"/>
      <c r="L19" s="39"/>
      <c r="M19" s="39"/>
      <c r="N19" s="40"/>
      <c r="O19" s="40"/>
      <c r="P19" s="49"/>
      <c r="Q19" s="49"/>
      <c r="R19" s="49"/>
      <c r="S19" s="36"/>
      <c r="T19" s="36"/>
      <c r="U19" s="36"/>
      <c r="V19" s="36"/>
      <c r="W19" s="41">
        <v>6.0</v>
      </c>
      <c r="X19" s="42">
        <f>W19*30000</f>
        <v>180000</v>
      </c>
    </row>
    <row r="20" ht="30.75" customHeight="1">
      <c r="B20" s="28"/>
      <c r="C20" s="43" t="s">
        <v>30</v>
      </c>
      <c r="D20" s="44"/>
      <c r="E20" s="44"/>
      <c r="F20" s="45"/>
      <c r="G20" s="38" t="s">
        <v>73</v>
      </c>
      <c r="H20" s="45"/>
      <c r="I20" s="38"/>
      <c r="J20" s="38"/>
      <c r="K20" s="38"/>
      <c r="L20" s="39"/>
      <c r="M20" s="39"/>
      <c r="N20" s="40"/>
      <c r="O20" s="40"/>
      <c r="P20" s="49"/>
      <c r="Q20" s="49"/>
      <c r="R20" s="49"/>
      <c r="S20" s="36"/>
      <c r="T20" s="36"/>
      <c r="U20" s="36"/>
      <c r="V20" s="36"/>
      <c r="W20" s="36"/>
      <c r="X20" s="42"/>
    </row>
    <row r="21" ht="22.5" customHeight="1">
      <c r="B21" s="12">
        <v>5.0</v>
      </c>
      <c r="C21" s="30" t="s">
        <v>40</v>
      </c>
      <c r="D21" s="72">
        <v>45972.0</v>
      </c>
      <c r="E21" s="63">
        <v>45979.0</v>
      </c>
      <c r="F21" s="45">
        <v>45981.0</v>
      </c>
      <c r="G21" s="45">
        <v>45986.0</v>
      </c>
      <c r="H21" s="63">
        <v>45988.0</v>
      </c>
      <c r="I21" s="45"/>
      <c r="J21" s="50"/>
      <c r="K21" s="45"/>
      <c r="L21" s="45"/>
      <c r="M21" s="45"/>
      <c r="N21" s="45"/>
      <c r="O21" s="34"/>
      <c r="P21" s="36"/>
      <c r="Q21" s="36"/>
      <c r="R21" s="36"/>
      <c r="S21" s="36"/>
      <c r="T21" s="36"/>
      <c r="U21" s="36"/>
      <c r="V21" s="36"/>
      <c r="W21" s="36"/>
      <c r="X21" s="42"/>
      <c r="Y21" s="21"/>
      <c r="Z21" s="21"/>
      <c r="AA21" s="21"/>
      <c r="AB21" s="21"/>
      <c r="AC21" s="21"/>
      <c r="AD21" s="21"/>
      <c r="AE21" s="21"/>
      <c r="AF21" s="21"/>
    </row>
    <row r="22" ht="22.5" customHeight="1">
      <c r="B22" s="22"/>
      <c r="C22" s="43" t="s">
        <v>29</v>
      </c>
      <c r="D22" s="38">
        <v>1.0</v>
      </c>
      <c r="E22" s="38">
        <v>0.0</v>
      </c>
      <c r="F22" s="38">
        <v>1.0</v>
      </c>
      <c r="G22" s="38">
        <v>1.0</v>
      </c>
      <c r="H22" s="38">
        <v>0.0</v>
      </c>
      <c r="I22" s="38"/>
      <c r="J22" s="38"/>
      <c r="K22" s="38"/>
      <c r="L22" s="39"/>
      <c r="M22" s="39"/>
      <c r="N22" s="40"/>
      <c r="O22" s="40"/>
      <c r="P22" s="36"/>
      <c r="Q22" s="36"/>
      <c r="R22" s="36"/>
      <c r="S22" s="36"/>
      <c r="T22" s="36"/>
      <c r="U22" s="36"/>
      <c r="V22" s="36"/>
      <c r="W22" s="41">
        <v>3.0</v>
      </c>
      <c r="X22" s="42">
        <f>W22*30000</f>
        <v>90000</v>
      </c>
    </row>
    <row r="23" ht="30.0" customHeight="1">
      <c r="B23" s="28"/>
      <c r="C23" s="43" t="s">
        <v>30</v>
      </c>
      <c r="D23" s="44"/>
      <c r="E23" s="38" t="s">
        <v>73</v>
      </c>
      <c r="F23" s="45"/>
      <c r="G23" s="45"/>
      <c r="H23" s="52" t="s">
        <v>74</v>
      </c>
      <c r="I23" s="44"/>
      <c r="J23" s="45"/>
      <c r="K23" s="45"/>
      <c r="L23" s="39"/>
      <c r="M23" s="39"/>
      <c r="N23" s="40"/>
      <c r="O23" s="40"/>
      <c r="P23" s="36"/>
      <c r="Q23" s="36"/>
      <c r="R23" s="36"/>
      <c r="S23" s="36"/>
      <c r="T23" s="36"/>
      <c r="U23" s="36"/>
      <c r="V23" s="36"/>
      <c r="W23" s="36"/>
      <c r="X23" s="42"/>
    </row>
    <row r="24" ht="22.5" customHeight="1">
      <c r="B24" s="12">
        <v>6.0</v>
      </c>
      <c r="C24" s="55" t="s">
        <v>75</v>
      </c>
      <c r="D24" s="63">
        <v>45965.0</v>
      </c>
      <c r="E24" s="63">
        <v>45968.0</v>
      </c>
      <c r="F24" s="45">
        <v>45971.0</v>
      </c>
      <c r="G24" s="72">
        <v>45972.0</v>
      </c>
      <c r="H24" s="45">
        <v>45973.0</v>
      </c>
      <c r="I24" s="45">
        <v>45974.0</v>
      </c>
      <c r="J24" s="45">
        <v>45975.0</v>
      </c>
      <c r="K24" s="63">
        <v>45978.0</v>
      </c>
      <c r="L24" s="63">
        <v>45979.0</v>
      </c>
      <c r="M24" s="45">
        <v>45980.0</v>
      </c>
      <c r="N24" s="45">
        <v>45982.0</v>
      </c>
      <c r="O24" s="45">
        <v>45986.0</v>
      </c>
      <c r="P24" s="45">
        <v>45987.0</v>
      </c>
      <c r="Q24" s="45">
        <v>45989.0</v>
      </c>
      <c r="R24" s="45"/>
      <c r="S24" s="41"/>
      <c r="T24" s="41"/>
      <c r="U24" s="41"/>
      <c r="V24" s="41"/>
      <c r="W24" s="41"/>
      <c r="X24" s="58"/>
      <c r="Y24" s="59"/>
      <c r="Z24" s="59"/>
      <c r="AA24" s="59"/>
      <c r="AB24" s="59"/>
      <c r="AC24" s="59"/>
      <c r="AD24" s="59"/>
      <c r="AE24" s="59"/>
      <c r="AF24" s="59"/>
    </row>
    <row r="25" ht="22.5" customHeight="1">
      <c r="B25" s="22"/>
      <c r="C25" s="37" t="s">
        <v>29</v>
      </c>
      <c r="D25" s="43">
        <v>0.0</v>
      </c>
      <c r="E25" s="43">
        <v>0.0</v>
      </c>
      <c r="F25" s="52">
        <v>3.0</v>
      </c>
      <c r="G25" s="38">
        <v>3.0</v>
      </c>
      <c r="H25" s="38">
        <v>3.0</v>
      </c>
      <c r="I25" s="43">
        <v>1.5</v>
      </c>
      <c r="J25" s="43">
        <v>3.0</v>
      </c>
      <c r="K25" s="38">
        <v>0.0</v>
      </c>
      <c r="L25" s="38">
        <v>0.0</v>
      </c>
      <c r="M25" s="43">
        <v>3.0</v>
      </c>
      <c r="N25" s="43">
        <v>3.0</v>
      </c>
      <c r="O25" s="43">
        <v>3.0</v>
      </c>
      <c r="P25" s="43">
        <v>3.0</v>
      </c>
      <c r="Q25" s="52">
        <v>3.0</v>
      </c>
      <c r="R25" s="36"/>
      <c r="S25" s="41"/>
      <c r="T25" s="41"/>
      <c r="U25" s="41"/>
      <c r="V25" s="41"/>
      <c r="W25" s="41">
        <v>28.5</v>
      </c>
      <c r="X25" s="42">
        <f>W25*55000</f>
        <v>1567500</v>
      </c>
      <c r="Y25" s="59"/>
      <c r="Z25" s="60"/>
      <c r="AA25" s="59"/>
      <c r="AB25" s="59"/>
      <c r="AC25" s="59"/>
      <c r="AD25" s="59"/>
      <c r="AE25" s="59"/>
      <c r="AF25" s="59"/>
    </row>
    <row r="26" ht="27.0" customHeight="1">
      <c r="B26" s="28"/>
      <c r="C26" s="37" t="s">
        <v>30</v>
      </c>
      <c r="D26" s="38" t="s">
        <v>54</v>
      </c>
      <c r="E26" s="38" t="s">
        <v>54</v>
      </c>
      <c r="F26" s="55"/>
      <c r="G26" s="38" t="s">
        <v>67</v>
      </c>
      <c r="H26" s="38"/>
      <c r="I26" s="55"/>
      <c r="J26" s="55"/>
      <c r="K26" s="38" t="s">
        <v>76</v>
      </c>
      <c r="L26" s="38" t="s">
        <v>76</v>
      </c>
      <c r="M26" s="55"/>
      <c r="N26" s="38" t="s">
        <v>77</v>
      </c>
      <c r="O26" s="38" t="s">
        <v>77</v>
      </c>
      <c r="P26" s="55"/>
      <c r="Q26" s="38" t="s">
        <v>67</v>
      </c>
      <c r="R26" s="36"/>
      <c r="S26" s="36"/>
      <c r="T26" s="36"/>
      <c r="U26" s="36"/>
      <c r="V26" s="36"/>
      <c r="W26" s="36"/>
      <c r="X26" s="58"/>
      <c r="Y26" s="61"/>
      <c r="Z26" s="61"/>
      <c r="AA26" s="61"/>
      <c r="AB26" s="61"/>
      <c r="AC26" s="61"/>
      <c r="AD26" s="61"/>
      <c r="AE26" s="61"/>
      <c r="AF26" s="61"/>
    </row>
    <row r="27" ht="20.25" customHeight="1">
      <c r="B27" s="12">
        <v>7.0</v>
      </c>
      <c r="C27" s="54" t="s">
        <v>78</v>
      </c>
      <c r="D27" s="75"/>
      <c r="E27" s="75"/>
      <c r="F27" s="76"/>
      <c r="G27" s="77"/>
      <c r="H27" s="55"/>
      <c r="I27" s="55"/>
      <c r="J27" s="55"/>
      <c r="K27" s="55"/>
      <c r="L27" s="76"/>
      <c r="M27" s="76"/>
      <c r="N27" s="76"/>
      <c r="O27" s="76"/>
      <c r="P27" s="76"/>
      <c r="Q27" s="44"/>
      <c r="R27" s="36"/>
      <c r="S27" s="36"/>
      <c r="T27" s="36"/>
      <c r="U27" s="36"/>
      <c r="V27" s="36"/>
      <c r="W27" s="36"/>
      <c r="X27" s="42"/>
    </row>
    <row r="28" ht="20.25" customHeight="1">
      <c r="B28" s="22"/>
      <c r="C28" s="37" t="s">
        <v>29</v>
      </c>
      <c r="D28" s="78"/>
      <c r="E28" s="78"/>
      <c r="F28" s="76"/>
      <c r="G28" s="76"/>
      <c r="H28" s="55"/>
      <c r="I28" s="55"/>
      <c r="J28" s="55"/>
      <c r="K28" s="55"/>
      <c r="L28" s="76"/>
      <c r="M28" s="76"/>
      <c r="N28" s="76"/>
      <c r="O28" s="76"/>
      <c r="P28" s="76"/>
      <c r="Q28" s="44"/>
      <c r="R28" s="36"/>
      <c r="S28" s="36"/>
      <c r="T28" s="36"/>
      <c r="U28" s="36"/>
      <c r="V28" s="36"/>
      <c r="W28" s="36"/>
      <c r="X28" s="42"/>
    </row>
    <row r="29" ht="20.25" customHeight="1">
      <c r="B29" s="28"/>
      <c r="C29" s="37" t="s">
        <v>30</v>
      </c>
      <c r="D29" s="77"/>
      <c r="E29" s="77"/>
      <c r="F29" s="76"/>
      <c r="G29" s="76"/>
      <c r="H29" s="55"/>
      <c r="I29" s="55"/>
      <c r="J29" s="55"/>
      <c r="K29" s="55"/>
      <c r="L29" s="76"/>
      <c r="M29" s="76"/>
      <c r="N29" s="76"/>
      <c r="O29" s="76"/>
      <c r="P29" s="76"/>
      <c r="Q29" s="44"/>
      <c r="R29" s="36"/>
      <c r="S29" s="36"/>
      <c r="T29" s="36"/>
      <c r="U29" s="36"/>
      <c r="V29" s="36"/>
      <c r="W29" s="36"/>
      <c r="X29" s="42"/>
    </row>
    <row r="30" ht="22.5" customHeight="1">
      <c r="B30" s="12">
        <v>8.0</v>
      </c>
      <c r="C30" s="30" t="s">
        <v>55</v>
      </c>
      <c r="D30" s="45">
        <v>45964.0</v>
      </c>
      <c r="E30" s="63">
        <v>45968.0</v>
      </c>
      <c r="F30" s="45">
        <v>45971.0</v>
      </c>
      <c r="G30" s="45">
        <v>45975.0</v>
      </c>
      <c r="H30" s="63">
        <v>45978.0</v>
      </c>
      <c r="I30" s="63">
        <v>45982.0</v>
      </c>
      <c r="J30" s="45">
        <v>45985.0</v>
      </c>
      <c r="K30" s="45">
        <v>45989.0</v>
      </c>
      <c r="L30" s="50"/>
      <c r="M30" s="45"/>
      <c r="N30" s="45"/>
      <c r="O30" s="45"/>
      <c r="P30" s="45"/>
      <c r="Q30" s="36"/>
      <c r="R30" s="36"/>
      <c r="S30" s="36"/>
      <c r="T30" s="36"/>
      <c r="U30" s="36"/>
      <c r="V30" s="36"/>
      <c r="W30" s="36"/>
      <c r="X30" s="42"/>
      <c r="Y30" s="21"/>
      <c r="Z30" s="21"/>
      <c r="AA30" s="21"/>
      <c r="AB30" s="21"/>
      <c r="AC30" s="21"/>
      <c r="AD30" s="21"/>
      <c r="AE30" s="21"/>
      <c r="AF30" s="21"/>
    </row>
    <row r="31" ht="22.5" customHeight="1">
      <c r="B31" s="22"/>
      <c r="C31" s="37" t="s">
        <v>29</v>
      </c>
      <c r="D31" s="43">
        <v>2.0</v>
      </c>
      <c r="E31" s="43">
        <v>0.0</v>
      </c>
      <c r="F31" s="43">
        <v>2.0</v>
      </c>
      <c r="G31" s="43">
        <v>2.0</v>
      </c>
      <c r="H31" s="38">
        <v>0.0</v>
      </c>
      <c r="I31" s="38">
        <v>0.0</v>
      </c>
      <c r="J31" s="43">
        <v>2.0</v>
      </c>
      <c r="K31" s="43">
        <v>2.0</v>
      </c>
      <c r="L31" s="64"/>
      <c r="M31" s="64"/>
      <c r="N31" s="34"/>
      <c r="O31" s="34"/>
      <c r="P31" s="36"/>
      <c r="Q31" s="36"/>
      <c r="R31" s="36"/>
      <c r="S31" s="36"/>
      <c r="T31" s="36"/>
      <c r="U31" s="36"/>
      <c r="V31" s="36"/>
      <c r="W31" s="41">
        <v>10.0</v>
      </c>
      <c r="X31" s="42">
        <f>W31*30000</f>
        <v>300000</v>
      </c>
      <c r="Y31" s="21"/>
      <c r="Z31" s="21"/>
      <c r="AA31" s="21"/>
      <c r="AB31" s="21"/>
      <c r="AC31" s="21"/>
      <c r="AD31" s="21"/>
      <c r="AE31" s="21"/>
      <c r="AF31" s="21"/>
    </row>
    <row r="32" ht="29.25" customHeight="1">
      <c r="B32" s="28"/>
      <c r="C32" s="37" t="s">
        <v>30</v>
      </c>
      <c r="D32" s="44"/>
      <c r="E32" s="38" t="s">
        <v>35</v>
      </c>
      <c r="F32" s="44"/>
      <c r="G32" s="44"/>
      <c r="H32" s="38" t="s">
        <v>64</v>
      </c>
      <c r="I32" s="38" t="s">
        <v>35</v>
      </c>
      <c r="J32" s="38"/>
      <c r="K32" s="39"/>
      <c r="L32" s="39"/>
      <c r="M32" s="39"/>
      <c r="N32" s="40"/>
      <c r="O32" s="40"/>
      <c r="P32" s="36"/>
      <c r="Q32" s="36"/>
      <c r="R32" s="36"/>
      <c r="S32" s="36"/>
      <c r="T32" s="36"/>
      <c r="U32" s="36"/>
      <c r="V32" s="36"/>
      <c r="W32" s="36"/>
      <c r="X32" s="42"/>
    </row>
    <row r="33" ht="21.75" customHeight="1">
      <c r="A33" s="1"/>
      <c r="B33" s="12">
        <v>9.0</v>
      </c>
      <c r="C33" s="54" t="s">
        <v>45</v>
      </c>
      <c r="D33" s="45">
        <v>45964.0</v>
      </c>
      <c r="E33" s="45">
        <v>45971.0</v>
      </c>
      <c r="F33" s="63">
        <v>45978.0</v>
      </c>
      <c r="G33" s="63">
        <v>45985.0</v>
      </c>
      <c r="H33" s="44"/>
      <c r="I33" s="44"/>
      <c r="J33" s="39"/>
      <c r="K33" s="39"/>
      <c r="L33" s="39"/>
      <c r="M33" s="39"/>
      <c r="N33" s="40"/>
      <c r="O33" s="40"/>
      <c r="P33" s="36"/>
      <c r="Q33" s="36"/>
      <c r="R33" s="36"/>
      <c r="S33" s="36"/>
      <c r="T33" s="36"/>
      <c r="U33" s="36"/>
      <c r="V33" s="36"/>
      <c r="W33" s="36"/>
      <c r="X33" s="42"/>
    </row>
    <row r="34" ht="21.75" customHeight="1">
      <c r="A34" s="1"/>
      <c r="B34" s="22"/>
      <c r="C34" s="37" t="s">
        <v>29</v>
      </c>
      <c r="D34" s="66">
        <v>2.0</v>
      </c>
      <c r="E34" s="38">
        <v>2.0</v>
      </c>
      <c r="F34" s="38">
        <v>0.0</v>
      </c>
      <c r="G34" s="38">
        <v>0.0</v>
      </c>
      <c r="H34" s="44"/>
      <c r="I34" s="44"/>
      <c r="J34" s="39"/>
      <c r="K34" s="39"/>
      <c r="L34" s="39"/>
      <c r="M34" s="39"/>
      <c r="N34" s="40"/>
      <c r="O34" s="40"/>
      <c r="P34" s="36"/>
      <c r="Q34" s="36"/>
      <c r="R34" s="36"/>
      <c r="S34" s="36"/>
      <c r="T34" s="36"/>
      <c r="U34" s="36"/>
      <c r="V34" s="36"/>
      <c r="W34" s="41">
        <v>4.0</v>
      </c>
      <c r="X34" s="42">
        <f>W34*30000</f>
        <v>120000</v>
      </c>
    </row>
    <row r="35" ht="29.25" customHeight="1">
      <c r="A35" s="1"/>
      <c r="B35" s="28"/>
      <c r="C35" s="37" t="s">
        <v>30</v>
      </c>
      <c r="D35" s="44"/>
      <c r="E35" s="66" t="s">
        <v>79</v>
      </c>
      <c r="F35" s="38" t="s">
        <v>80</v>
      </c>
      <c r="G35" s="38" t="s">
        <v>35</v>
      </c>
      <c r="H35" s="44"/>
      <c r="I35" s="44"/>
      <c r="J35" s="39"/>
      <c r="K35" s="39"/>
      <c r="L35" s="39"/>
      <c r="M35" s="39"/>
      <c r="N35" s="40"/>
      <c r="O35" s="40"/>
      <c r="P35" s="36"/>
      <c r="Q35" s="36"/>
      <c r="R35" s="36"/>
      <c r="S35" s="36"/>
      <c r="T35" s="36"/>
      <c r="U35" s="36"/>
      <c r="V35" s="36"/>
      <c r="W35" s="36"/>
      <c r="X35" s="42"/>
    </row>
    <row r="36" ht="21.75" customHeight="1">
      <c r="A36" s="1"/>
      <c r="B36" s="12">
        <v>10.0</v>
      </c>
      <c r="C36" s="54" t="s">
        <v>43</v>
      </c>
      <c r="D36" s="45">
        <v>45967.0</v>
      </c>
      <c r="E36" s="45">
        <v>45974.0</v>
      </c>
      <c r="F36" s="45">
        <v>45981.0</v>
      </c>
      <c r="G36" s="45">
        <v>45988.0</v>
      </c>
      <c r="H36" s="50"/>
      <c r="I36" s="44"/>
      <c r="J36" s="39"/>
      <c r="K36" s="39"/>
      <c r="L36" s="39"/>
      <c r="M36" s="39"/>
      <c r="N36" s="40"/>
      <c r="O36" s="40"/>
      <c r="P36" s="36"/>
      <c r="Q36" s="36"/>
      <c r="R36" s="36"/>
      <c r="S36" s="36"/>
      <c r="T36" s="36"/>
      <c r="U36" s="36"/>
      <c r="V36" s="36"/>
      <c r="W36" s="36"/>
      <c r="X36" s="42"/>
    </row>
    <row r="37" ht="21.75" customHeight="1">
      <c r="A37" s="1"/>
      <c r="B37" s="22"/>
      <c r="C37" s="37" t="s">
        <v>29</v>
      </c>
      <c r="D37" s="38">
        <v>1.0</v>
      </c>
      <c r="E37" s="38">
        <v>1.0</v>
      </c>
      <c r="F37" s="38">
        <v>1.0</v>
      </c>
      <c r="G37" s="38">
        <v>1.0</v>
      </c>
      <c r="H37" s="44"/>
      <c r="I37" s="44"/>
      <c r="J37" s="39"/>
      <c r="K37" s="39"/>
      <c r="L37" s="39"/>
      <c r="M37" s="39"/>
      <c r="N37" s="40"/>
      <c r="O37" s="40"/>
      <c r="P37" s="36"/>
      <c r="Q37" s="36"/>
      <c r="R37" s="36"/>
      <c r="S37" s="36"/>
      <c r="T37" s="36"/>
      <c r="U37" s="36"/>
      <c r="V37" s="36"/>
      <c r="W37" s="41">
        <v>4.0</v>
      </c>
      <c r="X37" s="42">
        <f>W37*30000</f>
        <v>120000</v>
      </c>
    </row>
    <row r="38" ht="32.25" customHeight="1">
      <c r="A38" s="1"/>
      <c r="B38" s="28"/>
      <c r="C38" s="37" t="s">
        <v>30</v>
      </c>
      <c r="D38" s="44"/>
      <c r="E38" s="44"/>
      <c r="F38" s="44"/>
      <c r="G38" s="44"/>
      <c r="H38" s="44"/>
      <c r="I38" s="44"/>
      <c r="J38" s="39"/>
      <c r="K38" s="39"/>
      <c r="L38" s="39"/>
      <c r="M38" s="39"/>
      <c r="N38" s="40"/>
      <c r="O38" s="40"/>
      <c r="P38" s="36"/>
      <c r="Q38" s="36"/>
      <c r="R38" s="36"/>
      <c r="S38" s="36"/>
      <c r="T38" s="36"/>
      <c r="U38" s="36"/>
      <c r="V38" s="36"/>
      <c r="W38" s="36"/>
      <c r="X38" s="42"/>
    </row>
    <row r="39" ht="27.0" customHeight="1">
      <c r="A39" s="1"/>
      <c r="B39" s="12">
        <v>11.0</v>
      </c>
      <c r="C39" s="54" t="s">
        <v>81</v>
      </c>
      <c r="D39" s="45">
        <v>45985.0</v>
      </c>
      <c r="E39" s="50"/>
      <c r="F39" s="50"/>
      <c r="G39" s="50"/>
      <c r="H39" s="44"/>
      <c r="I39" s="44"/>
      <c r="J39" s="39"/>
      <c r="K39" s="39"/>
      <c r="L39" s="39"/>
      <c r="M39" s="39"/>
      <c r="N39" s="40"/>
      <c r="O39" s="40"/>
      <c r="P39" s="36"/>
      <c r="Q39" s="36"/>
      <c r="R39" s="36"/>
      <c r="S39" s="36"/>
      <c r="T39" s="36"/>
      <c r="U39" s="36"/>
      <c r="V39" s="36"/>
      <c r="W39" s="36"/>
      <c r="X39" s="42"/>
    </row>
    <row r="40" ht="32.25" customHeight="1">
      <c r="A40" s="1"/>
      <c r="B40" s="22"/>
      <c r="C40" s="37" t="s">
        <v>29</v>
      </c>
      <c r="D40" s="38">
        <v>0.5</v>
      </c>
      <c r="E40" s="44"/>
      <c r="F40" s="44"/>
      <c r="G40" s="44"/>
      <c r="H40" s="44"/>
      <c r="I40" s="44"/>
      <c r="J40" s="39"/>
      <c r="K40" s="39"/>
      <c r="L40" s="39"/>
      <c r="M40" s="39"/>
      <c r="N40" s="40"/>
      <c r="O40" s="40"/>
      <c r="P40" s="36"/>
      <c r="Q40" s="36"/>
      <c r="R40" s="36"/>
      <c r="S40" s="36"/>
      <c r="T40" s="36"/>
      <c r="U40" s="36"/>
      <c r="V40" s="36"/>
      <c r="W40" s="41">
        <v>0.5</v>
      </c>
      <c r="X40" s="42">
        <f>W40*30000</f>
        <v>15000</v>
      </c>
    </row>
    <row r="41" ht="32.25" customHeight="1">
      <c r="A41" s="1"/>
      <c r="B41" s="28"/>
      <c r="C41" s="37" t="s">
        <v>30</v>
      </c>
      <c r="D41" s="66" t="s">
        <v>79</v>
      </c>
      <c r="E41" s="44"/>
      <c r="F41" s="44"/>
      <c r="G41" s="44"/>
      <c r="H41" s="44"/>
      <c r="I41" s="44"/>
      <c r="J41" s="39"/>
      <c r="K41" s="39"/>
      <c r="L41" s="39"/>
      <c r="M41" s="39"/>
      <c r="N41" s="40"/>
      <c r="O41" s="40"/>
      <c r="P41" s="36"/>
      <c r="Q41" s="36"/>
      <c r="R41" s="36"/>
      <c r="S41" s="36"/>
      <c r="T41" s="36"/>
      <c r="U41" s="36"/>
      <c r="V41" s="36"/>
      <c r="W41" s="36"/>
      <c r="X41" s="42"/>
    </row>
    <row r="42">
      <c r="A42" s="1"/>
      <c r="B42" s="30" t="s">
        <v>46</v>
      </c>
      <c r="C42" s="6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/>
      <c r="T42" s="39"/>
      <c r="U42" s="39"/>
      <c r="V42" s="39"/>
      <c r="W42" s="39"/>
      <c r="X42" s="73">
        <f>SUM(X10:X41)</f>
        <v>3097500</v>
      </c>
    </row>
    <row r="43">
      <c r="A43" s="1"/>
      <c r="B43" s="30" t="s">
        <v>47</v>
      </c>
      <c r="C43" s="6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  <c r="T43" s="39"/>
      <c r="U43" s="39"/>
      <c r="V43" s="39"/>
      <c r="W43" s="39"/>
      <c r="X43" s="68">
        <f>X42-(X42*0.033)</f>
        <v>2995282.5</v>
      </c>
    </row>
    <row r="44">
      <c r="B44" s="40"/>
      <c r="C44" s="48"/>
      <c r="D44" s="40"/>
      <c r="E44" s="40"/>
      <c r="F44" s="40"/>
      <c r="G44" s="40"/>
      <c r="H44" s="48"/>
      <c r="I44" s="48"/>
      <c r="J44" s="48"/>
      <c r="K44" s="48"/>
      <c r="L44" s="40"/>
      <c r="M44" s="40"/>
      <c r="N44" s="40"/>
      <c r="O44" s="40"/>
      <c r="P44" s="69"/>
      <c r="Q44" s="69"/>
      <c r="R44" s="69"/>
      <c r="S44" s="69"/>
      <c r="T44" s="69"/>
      <c r="U44" s="69"/>
      <c r="V44" s="69"/>
      <c r="W44" s="69"/>
      <c r="X44" s="40"/>
    </row>
    <row r="45">
      <c r="C45" s="61"/>
      <c r="H45" s="61"/>
      <c r="I45" s="61"/>
      <c r="J45" s="61"/>
      <c r="K45" s="61"/>
    </row>
    <row r="46">
      <c r="C46" s="61"/>
      <c r="H46" s="61"/>
      <c r="I46" s="61"/>
      <c r="J46" s="61"/>
      <c r="K46" s="61"/>
    </row>
    <row r="47">
      <c r="C47" s="61"/>
      <c r="H47" s="61"/>
      <c r="I47" s="61"/>
      <c r="J47" s="61"/>
      <c r="K47" s="61"/>
    </row>
    <row r="48">
      <c r="C48" s="61"/>
      <c r="H48" s="61"/>
      <c r="I48" s="61"/>
      <c r="J48" s="61"/>
      <c r="K48" s="61"/>
    </row>
    <row r="49">
      <c r="C49" s="61"/>
      <c r="H49" s="61"/>
      <c r="I49" s="61"/>
      <c r="J49" s="61"/>
      <c r="K49" s="61"/>
    </row>
    <row r="50">
      <c r="C50" s="61"/>
      <c r="H50" s="61"/>
      <c r="I50" s="61"/>
      <c r="J50" s="61"/>
      <c r="K50" s="61"/>
    </row>
    <row r="51">
      <c r="C51" s="61"/>
      <c r="H51" s="61"/>
      <c r="I51" s="61"/>
      <c r="J51" s="61"/>
      <c r="K51" s="61"/>
    </row>
    <row r="52">
      <c r="C52" s="61"/>
      <c r="H52" s="61"/>
      <c r="I52" s="61"/>
      <c r="J52" s="61"/>
      <c r="K52" s="61"/>
    </row>
    <row r="53">
      <c r="C53" s="61"/>
      <c r="H53" s="61"/>
      <c r="I53" s="61"/>
      <c r="J53" s="61"/>
      <c r="K53" s="61"/>
    </row>
    <row r="54">
      <c r="C54" s="61"/>
      <c r="H54" s="61"/>
      <c r="I54" s="61"/>
      <c r="J54" s="61"/>
      <c r="K54" s="61"/>
    </row>
    <row r="55">
      <c r="C55" s="61"/>
      <c r="H55" s="61"/>
      <c r="I55" s="61"/>
      <c r="J55" s="61"/>
      <c r="K55" s="61"/>
    </row>
    <row r="56">
      <c r="C56" s="61"/>
      <c r="H56" s="61"/>
      <c r="I56" s="61"/>
      <c r="J56" s="61"/>
      <c r="K56" s="61"/>
    </row>
    <row r="57">
      <c r="C57" s="61"/>
      <c r="H57" s="61"/>
      <c r="I57" s="61"/>
      <c r="J57" s="61"/>
      <c r="K57" s="61"/>
    </row>
    <row r="58">
      <c r="C58" s="61"/>
      <c r="H58" s="61"/>
      <c r="I58" s="61"/>
      <c r="J58" s="61"/>
      <c r="K58" s="61"/>
    </row>
    <row r="59">
      <c r="C59" s="61"/>
      <c r="H59" s="61"/>
      <c r="I59" s="61"/>
      <c r="J59" s="61"/>
      <c r="K59" s="61"/>
    </row>
    <row r="60">
      <c r="C60" s="61"/>
      <c r="H60" s="61"/>
      <c r="I60" s="61"/>
      <c r="J60" s="61"/>
      <c r="K60" s="61"/>
    </row>
    <row r="61">
      <c r="C61" s="61"/>
      <c r="H61" s="61"/>
      <c r="I61" s="61"/>
      <c r="J61" s="61"/>
      <c r="K61" s="61"/>
    </row>
    <row r="62">
      <c r="C62" s="61"/>
      <c r="H62" s="61"/>
      <c r="I62" s="61"/>
      <c r="J62" s="61"/>
      <c r="K62" s="61"/>
    </row>
    <row r="63">
      <c r="C63" s="61"/>
      <c r="H63" s="61"/>
      <c r="I63" s="61"/>
      <c r="J63" s="61"/>
      <c r="K63" s="61"/>
    </row>
    <row r="64">
      <c r="C64" s="61"/>
      <c r="H64" s="61"/>
      <c r="I64" s="61"/>
      <c r="J64" s="61"/>
      <c r="K64" s="61"/>
    </row>
    <row r="65">
      <c r="C65" s="61"/>
      <c r="H65" s="61"/>
      <c r="I65" s="61"/>
      <c r="J65" s="61"/>
      <c r="K65" s="61"/>
    </row>
    <row r="66">
      <c r="C66" s="61"/>
      <c r="H66" s="61"/>
      <c r="I66" s="61"/>
      <c r="J66" s="61"/>
      <c r="K66" s="61"/>
    </row>
    <row r="67">
      <c r="C67" s="61"/>
      <c r="H67" s="61"/>
      <c r="I67" s="61"/>
      <c r="J67" s="61"/>
      <c r="K67" s="61"/>
    </row>
    <row r="68">
      <c r="C68" s="61"/>
      <c r="H68" s="61"/>
      <c r="I68" s="61"/>
      <c r="J68" s="61"/>
      <c r="K68" s="61"/>
    </row>
    <row r="69">
      <c r="C69" s="61"/>
      <c r="H69" s="61"/>
      <c r="I69" s="61"/>
      <c r="J69" s="61"/>
      <c r="K69" s="61"/>
    </row>
    <row r="70">
      <c r="C70" s="61"/>
      <c r="H70" s="61"/>
      <c r="I70" s="61"/>
      <c r="J70" s="61"/>
      <c r="K70" s="61"/>
    </row>
    <row r="71">
      <c r="C71" s="61"/>
      <c r="H71" s="61"/>
      <c r="I71" s="61"/>
      <c r="J71" s="61"/>
      <c r="K71" s="61"/>
    </row>
    <row r="72">
      <c r="C72" s="61"/>
      <c r="H72" s="61"/>
      <c r="I72" s="61"/>
      <c r="J72" s="61"/>
      <c r="K72" s="61"/>
    </row>
    <row r="73">
      <c r="C73" s="61"/>
      <c r="H73" s="61"/>
      <c r="I73" s="61"/>
      <c r="J73" s="61"/>
      <c r="K73" s="61"/>
    </row>
    <row r="74">
      <c r="C74" s="61"/>
      <c r="H74" s="61"/>
      <c r="I74" s="61"/>
      <c r="J74" s="61"/>
      <c r="K74" s="61"/>
    </row>
    <row r="75">
      <c r="C75" s="61"/>
      <c r="H75" s="61"/>
      <c r="I75" s="61"/>
      <c r="J75" s="61"/>
      <c r="K75" s="61"/>
    </row>
    <row r="76">
      <c r="C76" s="61"/>
      <c r="H76" s="61"/>
      <c r="I76" s="61"/>
      <c r="J76" s="61"/>
      <c r="K76" s="61"/>
    </row>
    <row r="77">
      <c r="C77" s="61"/>
      <c r="H77" s="61"/>
      <c r="I77" s="61"/>
      <c r="J77" s="61"/>
      <c r="K77" s="61"/>
    </row>
    <row r="78">
      <c r="C78" s="61"/>
      <c r="H78" s="61"/>
      <c r="I78" s="61"/>
      <c r="J78" s="61"/>
      <c r="K78" s="61"/>
    </row>
    <row r="79">
      <c r="C79" s="61"/>
      <c r="H79" s="61"/>
      <c r="I79" s="61"/>
      <c r="J79" s="61"/>
      <c r="K79" s="61"/>
    </row>
    <row r="80">
      <c r="C80" s="61"/>
      <c r="H80" s="61"/>
      <c r="I80" s="61"/>
      <c r="J80" s="61"/>
      <c r="K80" s="61"/>
    </row>
    <row r="81">
      <c r="C81" s="61"/>
      <c r="H81" s="61"/>
      <c r="I81" s="61"/>
      <c r="J81" s="61"/>
      <c r="K81" s="61"/>
    </row>
    <row r="82">
      <c r="C82" s="61"/>
      <c r="H82" s="61"/>
      <c r="I82" s="61"/>
      <c r="J82" s="61"/>
      <c r="K82" s="61"/>
    </row>
    <row r="83">
      <c r="C83" s="61"/>
      <c r="H83" s="61"/>
      <c r="I83" s="61"/>
      <c r="J83" s="61"/>
      <c r="K83" s="61"/>
    </row>
    <row r="84">
      <c r="C84" s="61"/>
      <c r="H84" s="61"/>
      <c r="I84" s="61"/>
      <c r="J84" s="61"/>
      <c r="K84" s="61"/>
    </row>
    <row r="85">
      <c r="C85" s="61"/>
      <c r="H85" s="61"/>
      <c r="I85" s="61"/>
      <c r="J85" s="61"/>
      <c r="K85" s="61"/>
    </row>
    <row r="86">
      <c r="C86" s="61"/>
      <c r="H86" s="61"/>
      <c r="I86" s="61"/>
      <c r="J86" s="61"/>
      <c r="K86" s="61"/>
    </row>
    <row r="87">
      <c r="C87" s="61"/>
      <c r="H87" s="61"/>
      <c r="I87" s="61"/>
      <c r="J87" s="61"/>
      <c r="K87" s="61"/>
    </row>
    <row r="88">
      <c r="C88" s="61"/>
      <c r="H88" s="61"/>
      <c r="I88" s="61"/>
      <c r="J88" s="61"/>
      <c r="K88" s="61"/>
    </row>
    <row r="89">
      <c r="C89" s="61"/>
      <c r="H89" s="61"/>
      <c r="I89" s="61"/>
      <c r="J89" s="61"/>
      <c r="K89" s="61"/>
    </row>
    <row r="90">
      <c r="C90" s="61"/>
      <c r="H90" s="61"/>
      <c r="I90" s="61"/>
      <c r="J90" s="61"/>
      <c r="K90" s="61"/>
    </row>
    <row r="91">
      <c r="C91" s="61"/>
      <c r="H91" s="61"/>
      <c r="I91" s="61"/>
      <c r="J91" s="61"/>
      <c r="K91" s="61"/>
    </row>
    <row r="92">
      <c r="C92" s="61"/>
      <c r="H92" s="61"/>
      <c r="I92" s="61"/>
      <c r="J92" s="61"/>
      <c r="K92" s="61"/>
    </row>
    <row r="93">
      <c r="C93" s="61"/>
      <c r="H93" s="61"/>
      <c r="I93" s="61"/>
      <c r="J93" s="61"/>
      <c r="K93" s="61"/>
    </row>
    <row r="94">
      <c r="C94" s="61"/>
      <c r="H94" s="61"/>
      <c r="I94" s="61"/>
      <c r="J94" s="61"/>
      <c r="K94" s="61"/>
    </row>
    <row r="95">
      <c r="C95" s="61"/>
      <c r="H95" s="61"/>
      <c r="I95" s="61"/>
      <c r="J95" s="61"/>
      <c r="K95" s="61"/>
    </row>
    <row r="96">
      <c r="C96" s="61"/>
      <c r="H96" s="61"/>
      <c r="I96" s="61"/>
      <c r="J96" s="61"/>
      <c r="K96" s="61"/>
    </row>
    <row r="97">
      <c r="C97" s="61"/>
      <c r="H97" s="61"/>
      <c r="I97" s="61"/>
      <c r="J97" s="61"/>
      <c r="K97" s="61"/>
    </row>
    <row r="98">
      <c r="C98" s="61"/>
      <c r="H98" s="61"/>
      <c r="I98" s="61"/>
      <c r="J98" s="61"/>
      <c r="K98" s="61"/>
    </row>
    <row r="99">
      <c r="C99" s="61"/>
      <c r="H99" s="61"/>
      <c r="I99" s="61"/>
      <c r="J99" s="61"/>
      <c r="K99" s="61"/>
    </row>
    <row r="100">
      <c r="C100" s="61"/>
      <c r="H100" s="61"/>
      <c r="I100" s="61"/>
      <c r="J100" s="61"/>
      <c r="K100" s="61"/>
    </row>
    <row r="101">
      <c r="C101" s="61"/>
      <c r="H101" s="61"/>
      <c r="I101" s="61"/>
      <c r="J101" s="61"/>
      <c r="K101" s="61"/>
    </row>
    <row r="102">
      <c r="C102" s="61"/>
      <c r="H102" s="61"/>
      <c r="I102" s="61"/>
      <c r="J102" s="61"/>
      <c r="K102" s="61"/>
    </row>
    <row r="103">
      <c r="C103" s="61"/>
      <c r="H103" s="61"/>
      <c r="I103" s="61"/>
      <c r="J103" s="61"/>
      <c r="K103" s="61"/>
    </row>
    <row r="104">
      <c r="C104" s="61"/>
      <c r="H104" s="61"/>
      <c r="I104" s="61"/>
      <c r="J104" s="61"/>
      <c r="K104" s="61"/>
    </row>
    <row r="105">
      <c r="C105" s="61"/>
      <c r="H105" s="61"/>
      <c r="I105" s="61"/>
      <c r="J105" s="61"/>
      <c r="K105" s="61"/>
    </row>
    <row r="106">
      <c r="C106" s="61"/>
      <c r="H106" s="61"/>
      <c r="I106" s="61"/>
      <c r="J106" s="61"/>
      <c r="K106" s="61"/>
    </row>
    <row r="107">
      <c r="C107" s="61"/>
      <c r="H107" s="61"/>
      <c r="I107" s="61"/>
      <c r="J107" s="61"/>
      <c r="K107" s="61"/>
    </row>
    <row r="108">
      <c r="C108" s="61"/>
      <c r="H108" s="61"/>
      <c r="I108" s="61"/>
      <c r="J108" s="61"/>
      <c r="K108" s="61"/>
    </row>
    <row r="109">
      <c r="C109" s="61"/>
      <c r="H109" s="61"/>
      <c r="I109" s="61"/>
      <c r="J109" s="61"/>
      <c r="K109" s="61"/>
    </row>
    <row r="110">
      <c r="C110" s="61"/>
      <c r="H110" s="61"/>
      <c r="I110" s="61"/>
      <c r="J110" s="61"/>
      <c r="K110" s="61"/>
    </row>
    <row r="111">
      <c r="C111" s="61"/>
      <c r="H111" s="61"/>
      <c r="I111" s="61"/>
      <c r="J111" s="61"/>
      <c r="K111" s="61"/>
    </row>
    <row r="112">
      <c r="C112" s="61"/>
      <c r="H112" s="61"/>
      <c r="I112" s="61"/>
      <c r="J112" s="61"/>
      <c r="K112" s="61"/>
    </row>
    <row r="113">
      <c r="C113" s="61"/>
      <c r="H113" s="61"/>
      <c r="I113" s="61"/>
      <c r="J113" s="61"/>
      <c r="K113" s="61"/>
    </row>
    <row r="114">
      <c r="C114" s="61"/>
      <c r="H114" s="61"/>
      <c r="I114" s="61"/>
      <c r="J114" s="61"/>
      <c r="K114" s="61"/>
    </row>
    <row r="115">
      <c r="C115" s="61"/>
      <c r="H115" s="61"/>
      <c r="I115" s="61"/>
      <c r="J115" s="61"/>
      <c r="K115" s="61"/>
    </row>
    <row r="116">
      <c r="C116" s="61"/>
      <c r="H116" s="61"/>
      <c r="I116" s="61"/>
      <c r="J116" s="61"/>
      <c r="K116" s="61"/>
    </row>
    <row r="117">
      <c r="C117" s="61"/>
      <c r="H117" s="61"/>
      <c r="I117" s="61"/>
      <c r="J117" s="61"/>
      <c r="K117" s="61"/>
    </row>
    <row r="118">
      <c r="C118" s="61"/>
      <c r="H118" s="61"/>
      <c r="I118" s="61"/>
      <c r="J118" s="61"/>
      <c r="K118" s="61"/>
    </row>
    <row r="119">
      <c r="C119" s="61"/>
      <c r="H119" s="61"/>
      <c r="I119" s="61"/>
      <c r="J119" s="61"/>
      <c r="K119" s="61"/>
    </row>
    <row r="120">
      <c r="C120" s="61"/>
      <c r="H120" s="61"/>
      <c r="I120" s="61"/>
      <c r="J120" s="61"/>
      <c r="K120" s="61"/>
    </row>
    <row r="121">
      <c r="C121" s="61"/>
      <c r="H121" s="61"/>
      <c r="I121" s="61"/>
      <c r="J121" s="61"/>
      <c r="K121" s="61"/>
    </row>
    <row r="122">
      <c r="C122" s="61"/>
      <c r="H122" s="61"/>
      <c r="I122" s="61"/>
      <c r="J122" s="61"/>
      <c r="K122" s="61"/>
    </row>
    <row r="123">
      <c r="C123" s="61"/>
      <c r="H123" s="61"/>
      <c r="I123" s="61"/>
      <c r="J123" s="61"/>
      <c r="K123" s="61"/>
    </row>
    <row r="124">
      <c r="C124" s="61"/>
      <c r="H124" s="61"/>
      <c r="I124" s="61"/>
      <c r="J124" s="61"/>
      <c r="K124" s="61"/>
    </row>
    <row r="125">
      <c r="C125" s="61"/>
      <c r="H125" s="61"/>
      <c r="I125" s="61"/>
      <c r="J125" s="61"/>
      <c r="K125" s="61"/>
    </row>
    <row r="126">
      <c r="C126" s="61"/>
      <c r="H126" s="61"/>
      <c r="I126" s="61"/>
      <c r="J126" s="61"/>
      <c r="K126" s="61"/>
    </row>
    <row r="127">
      <c r="C127" s="61"/>
      <c r="H127" s="61"/>
      <c r="I127" s="61"/>
      <c r="J127" s="61"/>
      <c r="K127" s="61"/>
    </row>
    <row r="128">
      <c r="C128" s="61"/>
      <c r="H128" s="61"/>
      <c r="I128" s="61"/>
      <c r="J128" s="61"/>
      <c r="K128" s="61"/>
    </row>
    <row r="129">
      <c r="C129" s="61"/>
      <c r="H129" s="61"/>
      <c r="I129" s="61"/>
      <c r="J129" s="61"/>
      <c r="K129" s="61"/>
    </row>
    <row r="130">
      <c r="C130" s="61"/>
      <c r="H130" s="61"/>
      <c r="I130" s="61"/>
      <c r="J130" s="61"/>
      <c r="K130" s="61"/>
    </row>
    <row r="131">
      <c r="C131" s="61"/>
      <c r="H131" s="61"/>
      <c r="I131" s="61"/>
      <c r="J131" s="61"/>
      <c r="K131" s="61"/>
    </row>
    <row r="132">
      <c r="C132" s="61"/>
      <c r="H132" s="61"/>
      <c r="I132" s="61"/>
      <c r="J132" s="61"/>
      <c r="K132" s="61"/>
    </row>
    <row r="133">
      <c r="C133" s="61"/>
      <c r="H133" s="61"/>
      <c r="I133" s="61"/>
      <c r="J133" s="61"/>
      <c r="K133" s="61"/>
    </row>
    <row r="134">
      <c r="C134" s="61"/>
      <c r="H134" s="61"/>
      <c r="I134" s="61"/>
      <c r="J134" s="61"/>
      <c r="K134" s="61"/>
    </row>
    <row r="135">
      <c r="C135" s="61"/>
      <c r="H135" s="61"/>
      <c r="I135" s="61"/>
      <c r="J135" s="61"/>
      <c r="K135" s="61"/>
    </row>
    <row r="136">
      <c r="C136" s="61"/>
      <c r="H136" s="61"/>
      <c r="I136" s="61"/>
      <c r="J136" s="61"/>
      <c r="K136" s="61"/>
    </row>
    <row r="137">
      <c r="C137" s="61"/>
      <c r="H137" s="61"/>
      <c r="I137" s="61"/>
      <c r="J137" s="61"/>
      <c r="K137" s="61"/>
    </row>
    <row r="138">
      <c r="C138" s="61"/>
      <c r="H138" s="61"/>
      <c r="I138" s="61"/>
      <c r="J138" s="61"/>
      <c r="K138" s="61"/>
    </row>
    <row r="139">
      <c r="C139" s="61"/>
      <c r="H139" s="61"/>
      <c r="I139" s="61"/>
      <c r="J139" s="61"/>
      <c r="K139" s="61"/>
    </row>
    <row r="140">
      <c r="C140" s="61"/>
      <c r="H140" s="61"/>
      <c r="I140" s="61"/>
      <c r="J140" s="61"/>
      <c r="K140" s="61"/>
    </row>
    <row r="141">
      <c r="C141" s="61"/>
      <c r="H141" s="61"/>
      <c r="I141" s="61"/>
      <c r="J141" s="61"/>
      <c r="K141" s="61"/>
    </row>
    <row r="142">
      <c r="C142" s="61"/>
      <c r="H142" s="61"/>
      <c r="I142" s="61"/>
      <c r="J142" s="61"/>
      <c r="K142" s="61"/>
    </row>
    <row r="143">
      <c r="C143" s="61"/>
      <c r="H143" s="61"/>
      <c r="I143" s="61"/>
      <c r="J143" s="61"/>
      <c r="K143" s="61"/>
    </row>
    <row r="144">
      <c r="C144" s="61"/>
      <c r="H144" s="61"/>
      <c r="I144" s="61"/>
      <c r="J144" s="61"/>
      <c r="K144" s="61"/>
    </row>
    <row r="145">
      <c r="C145" s="61"/>
      <c r="H145" s="61"/>
      <c r="I145" s="61"/>
      <c r="J145" s="61"/>
      <c r="K145" s="61"/>
    </row>
    <row r="146">
      <c r="C146" s="61"/>
      <c r="H146" s="61"/>
      <c r="I146" s="61"/>
      <c r="J146" s="61"/>
      <c r="K146" s="61"/>
    </row>
    <row r="147">
      <c r="C147" s="61"/>
      <c r="H147" s="61"/>
      <c r="I147" s="61"/>
      <c r="J147" s="61"/>
      <c r="K147" s="61"/>
    </row>
    <row r="148">
      <c r="C148" s="61"/>
      <c r="H148" s="61"/>
      <c r="I148" s="61"/>
      <c r="J148" s="61"/>
      <c r="K148" s="61"/>
    </row>
    <row r="149">
      <c r="C149" s="61"/>
      <c r="H149" s="61"/>
      <c r="I149" s="61"/>
      <c r="J149" s="61"/>
      <c r="K149" s="61"/>
    </row>
    <row r="150">
      <c r="C150" s="61"/>
      <c r="H150" s="61"/>
      <c r="I150" s="61"/>
      <c r="J150" s="61"/>
      <c r="K150" s="61"/>
    </row>
    <row r="151">
      <c r="C151" s="61"/>
      <c r="H151" s="61"/>
      <c r="I151" s="61"/>
      <c r="J151" s="61"/>
      <c r="K151" s="61"/>
    </row>
    <row r="152">
      <c r="C152" s="61"/>
      <c r="H152" s="61"/>
      <c r="I152" s="61"/>
      <c r="J152" s="61"/>
      <c r="K152" s="61"/>
    </row>
    <row r="153">
      <c r="C153" s="61"/>
      <c r="H153" s="61"/>
      <c r="I153" s="61"/>
      <c r="J153" s="61"/>
      <c r="K153" s="61"/>
    </row>
    <row r="154">
      <c r="C154" s="61"/>
      <c r="H154" s="61"/>
      <c r="I154" s="61"/>
      <c r="J154" s="61"/>
      <c r="K154" s="61"/>
    </row>
    <row r="155">
      <c r="C155" s="61"/>
      <c r="H155" s="61"/>
      <c r="I155" s="61"/>
      <c r="J155" s="61"/>
      <c r="K155" s="61"/>
    </row>
    <row r="156">
      <c r="C156" s="61"/>
      <c r="H156" s="61"/>
      <c r="I156" s="61"/>
      <c r="J156" s="61"/>
      <c r="K156" s="61"/>
    </row>
    <row r="157">
      <c r="C157" s="61"/>
      <c r="H157" s="61"/>
      <c r="I157" s="61"/>
      <c r="J157" s="61"/>
      <c r="K157" s="61"/>
    </row>
    <row r="158">
      <c r="C158" s="61"/>
      <c r="H158" s="61"/>
      <c r="I158" s="61"/>
      <c r="J158" s="61"/>
      <c r="K158" s="61"/>
    </row>
    <row r="159">
      <c r="C159" s="61"/>
      <c r="H159" s="61"/>
      <c r="I159" s="61"/>
      <c r="J159" s="61"/>
      <c r="K159" s="61"/>
    </row>
    <row r="160">
      <c r="C160" s="61"/>
      <c r="H160" s="61"/>
      <c r="I160" s="61"/>
      <c r="J160" s="61"/>
      <c r="K160" s="61"/>
    </row>
    <row r="161">
      <c r="C161" s="61"/>
      <c r="H161" s="61"/>
      <c r="I161" s="61"/>
      <c r="J161" s="61"/>
      <c r="K161" s="61"/>
    </row>
    <row r="162">
      <c r="C162" s="61"/>
      <c r="H162" s="61"/>
      <c r="I162" s="61"/>
      <c r="J162" s="61"/>
      <c r="K162" s="61"/>
    </row>
    <row r="163">
      <c r="C163" s="61"/>
      <c r="H163" s="61"/>
      <c r="I163" s="61"/>
      <c r="J163" s="61"/>
      <c r="K163" s="61"/>
    </row>
    <row r="164">
      <c r="C164" s="61"/>
      <c r="H164" s="61"/>
      <c r="I164" s="61"/>
      <c r="J164" s="61"/>
      <c r="K164" s="61"/>
    </row>
    <row r="165">
      <c r="C165" s="61"/>
      <c r="H165" s="61"/>
      <c r="I165" s="61"/>
      <c r="J165" s="61"/>
      <c r="K165" s="61"/>
    </row>
    <row r="166">
      <c r="C166" s="61"/>
      <c r="H166" s="61"/>
      <c r="I166" s="61"/>
      <c r="J166" s="61"/>
      <c r="K166" s="61"/>
    </row>
    <row r="167">
      <c r="C167" s="61"/>
      <c r="H167" s="61"/>
      <c r="I167" s="61"/>
      <c r="J167" s="61"/>
      <c r="K167" s="61"/>
    </row>
    <row r="168">
      <c r="C168" s="61"/>
      <c r="H168" s="61"/>
      <c r="I168" s="61"/>
      <c r="J168" s="61"/>
      <c r="K168" s="61"/>
    </row>
    <row r="169">
      <c r="C169" s="61"/>
      <c r="H169" s="61"/>
      <c r="I169" s="61"/>
      <c r="J169" s="61"/>
      <c r="K169" s="61"/>
    </row>
    <row r="170">
      <c r="C170" s="61"/>
      <c r="H170" s="61"/>
      <c r="I170" s="61"/>
      <c r="J170" s="61"/>
      <c r="K170" s="61"/>
    </row>
    <row r="171">
      <c r="C171" s="61"/>
      <c r="H171" s="61"/>
      <c r="I171" s="61"/>
      <c r="J171" s="61"/>
      <c r="K171" s="61"/>
    </row>
    <row r="172">
      <c r="C172" s="61"/>
      <c r="H172" s="61"/>
      <c r="I172" s="61"/>
      <c r="J172" s="61"/>
      <c r="K172" s="61"/>
    </row>
    <row r="173">
      <c r="C173" s="61"/>
      <c r="H173" s="61"/>
      <c r="I173" s="61"/>
      <c r="J173" s="61"/>
      <c r="K173" s="61"/>
    </row>
    <row r="174">
      <c r="C174" s="61"/>
      <c r="H174" s="61"/>
      <c r="I174" s="61"/>
      <c r="J174" s="61"/>
      <c r="K174" s="61"/>
    </row>
    <row r="175">
      <c r="C175" s="61"/>
      <c r="H175" s="61"/>
      <c r="I175" s="61"/>
      <c r="J175" s="61"/>
      <c r="K175" s="61"/>
    </row>
    <row r="176">
      <c r="C176" s="61"/>
      <c r="H176" s="61"/>
      <c r="I176" s="61"/>
      <c r="J176" s="61"/>
      <c r="K176" s="61"/>
    </row>
    <row r="177">
      <c r="C177" s="61"/>
      <c r="H177" s="61"/>
      <c r="I177" s="61"/>
      <c r="J177" s="61"/>
      <c r="K177" s="61"/>
    </row>
    <row r="178">
      <c r="C178" s="61"/>
      <c r="H178" s="61"/>
      <c r="I178" s="61"/>
      <c r="J178" s="61"/>
      <c r="K178" s="61"/>
    </row>
    <row r="179">
      <c r="C179" s="61"/>
      <c r="H179" s="61"/>
      <c r="I179" s="61"/>
      <c r="J179" s="61"/>
      <c r="K179" s="61"/>
    </row>
    <row r="180">
      <c r="C180" s="61"/>
      <c r="H180" s="61"/>
      <c r="I180" s="61"/>
      <c r="J180" s="61"/>
      <c r="K180" s="61"/>
    </row>
    <row r="181">
      <c r="C181" s="61"/>
      <c r="H181" s="61"/>
      <c r="I181" s="61"/>
      <c r="J181" s="61"/>
      <c r="K181" s="61"/>
    </row>
    <row r="182">
      <c r="C182" s="61"/>
      <c r="H182" s="61"/>
      <c r="I182" s="61"/>
      <c r="J182" s="61"/>
      <c r="K182" s="61"/>
    </row>
    <row r="183">
      <c r="C183" s="61"/>
      <c r="H183" s="61"/>
      <c r="I183" s="61"/>
      <c r="J183" s="61"/>
      <c r="K183" s="61"/>
    </row>
    <row r="184">
      <c r="C184" s="61"/>
      <c r="H184" s="61"/>
      <c r="I184" s="61"/>
      <c r="J184" s="61"/>
      <c r="K184" s="61"/>
    </row>
    <row r="185">
      <c r="C185" s="61"/>
      <c r="H185" s="61"/>
      <c r="I185" s="61"/>
      <c r="J185" s="61"/>
      <c r="K185" s="61"/>
    </row>
    <row r="186">
      <c r="C186" s="61"/>
      <c r="H186" s="61"/>
      <c r="I186" s="61"/>
      <c r="J186" s="61"/>
      <c r="K186" s="61"/>
    </row>
    <row r="187">
      <c r="C187" s="61"/>
      <c r="H187" s="61"/>
      <c r="I187" s="61"/>
      <c r="J187" s="61"/>
      <c r="K187" s="61"/>
    </row>
    <row r="188">
      <c r="C188" s="61"/>
      <c r="H188" s="61"/>
      <c r="I188" s="61"/>
      <c r="J188" s="61"/>
      <c r="K188" s="61"/>
    </row>
    <row r="189">
      <c r="C189" s="61"/>
      <c r="H189" s="61"/>
      <c r="I189" s="61"/>
      <c r="J189" s="61"/>
      <c r="K189" s="61"/>
    </row>
    <row r="190">
      <c r="C190" s="61"/>
      <c r="H190" s="61"/>
      <c r="I190" s="61"/>
      <c r="J190" s="61"/>
      <c r="K190" s="61"/>
    </row>
    <row r="191">
      <c r="C191" s="61"/>
      <c r="H191" s="61"/>
      <c r="I191" s="61"/>
      <c r="J191" s="61"/>
      <c r="K191" s="61"/>
    </row>
    <row r="192">
      <c r="C192" s="61"/>
      <c r="H192" s="61"/>
      <c r="I192" s="61"/>
      <c r="J192" s="61"/>
      <c r="K192" s="61"/>
    </row>
    <row r="193">
      <c r="C193" s="61"/>
      <c r="H193" s="61"/>
      <c r="I193" s="61"/>
      <c r="J193" s="61"/>
      <c r="K193" s="61"/>
    </row>
    <row r="194">
      <c r="C194" s="61"/>
      <c r="H194" s="61"/>
      <c r="I194" s="61"/>
      <c r="J194" s="61"/>
      <c r="K194" s="61"/>
    </row>
    <row r="195">
      <c r="C195" s="61"/>
      <c r="H195" s="61"/>
      <c r="I195" s="61"/>
      <c r="J195" s="61"/>
      <c r="K195" s="61"/>
    </row>
    <row r="196">
      <c r="C196" s="61"/>
      <c r="H196" s="61"/>
      <c r="I196" s="61"/>
      <c r="J196" s="61"/>
      <c r="K196" s="61"/>
    </row>
    <row r="197">
      <c r="C197" s="61"/>
      <c r="H197" s="61"/>
      <c r="I197" s="61"/>
      <c r="J197" s="61"/>
      <c r="K197" s="61"/>
    </row>
    <row r="198">
      <c r="C198" s="61"/>
      <c r="H198" s="61"/>
      <c r="I198" s="61"/>
      <c r="J198" s="61"/>
      <c r="K198" s="61"/>
    </row>
    <row r="199">
      <c r="C199" s="61"/>
      <c r="H199" s="61"/>
      <c r="I199" s="61"/>
      <c r="J199" s="61"/>
      <c r="K199" s="61"/>
    </row>
    <row r="200">
      <c r="C200" s="61"/>
      <c r="H200" s="61"/>
      <c r="I200" s="61"/>
      <c r="J200" s="61"/>
      <c r="K200" s="61"/>
    </row>
    <row r="201">
      <c r="C201" s="61"/>
      <c r="H201" s="61"/>
      <c r="I201" s="61"/>
      <c r="J201" s="61"/>
      <c r="K201" s="61"/>
    </row>
    <row r="202">
      <c r="C202" s="61"/>
      <c r="H202" s="61"/>
      <c r="I202" s="61"/>
      <c r="J202" s="61"/>
      <c r="K202" s="61"/>
    </row>
    <row r="203">
      <c r="C203" s="61"/>
      <c r="H203" s="61"/>
      <c r="I203" s="61"/>
      <c r="J203" s="61"/>
      <c r="K203" s="61"/>
    </row>
    <row r="204">
      <c r="C204" s="61"/>
      <c r="H204" s="61"/>
      <c r="I204" s="61"/>
      <c r="J204" s="61"/>
      <c r="K204" s="61"/>
    </row>
    <row r="205">
      <c r="C205" s="61"/>
      <c r="H205" s="61"/>
      <c r="I205" s="61"/>
      <c r="J205" s="61"/>
      <c r="K205" s="61"/>
    </row>
    <row r="206">
      <c r="C206" s="61"/>
      <c r="H206" s="61"/>
      <c r="I206" s="61"/>
      <c r="J206" s="61"/>
      <c r="K206" s="61"/>
    </row>
    <row r="207">
      <c r="C207" s="61"/>
      <c r="H207" s="61"/>
      <c r="I207" s="61"/>
      <c r="J207" s="61"/>
      <c r="K207" s="61"/>
    </row>
    <row r="208">
      <c r="C208" s="61"/>
      <c r="H208" s="61"/>
      <c r="I208" s="61"/>
      <c r="J208" s="61"/>
      <c r="K208" s="61"/>
    </row>
    <row r="209">
      <c r="C209" s="61"/>
      <c r="H209" s="61"/>
      <c r="I209" s="61"/>
      <c r="J209" s="61"/>
      <c r="K209" s="61"/>
    </row>
    <row r="210">
      <c r="C210" s="61"/>
      <c r="H210" s="61"/>
      <c r="I210" s="61"/>
      <c r="J210" s="61"/>
      <c r="K210" s="61"/>
    </row>
    <row r="211">
      <c r="C211" s="61"/>
      <c r="H211" s="61"/>
      <c r="I211" s="61"/>
      <c r="J211" s="61"/>
      <c r="K211" s="61"/>
    </row>
    <row r="212">
      <c r="C212" s="61"/>
      <c r="H212" s="61"/>
      <c r="I212" s="61"/>
      <c r="J212" s="61"/>
      <c r="K212" s="61"/>
    </row>
    <row r="213">
      <c r="C213" s="61"/>
      <c r="H213" s="61"/>
      <c r="I213" s="61"/>
      <c r="J213" s="61"/>
      <c r="K213" s="61"/>
    </row>
    <row r="214">
      <c r="C214" s="61"/>
      <c r="H214" s="61"/>
      <c r="I214" s="61"/>
      <c r="J214" s="61"/>
      <c r="K214" s="61"/>
    </row>
    <row r="215">
      <c r="C215" s="61"/>
      <c r="H215" s="61"/>
      <c r="I215" s="61"/>
      <c r="J215" s="61"/>
      <c r="K215" s="61"/>
    </row>
    <row r="216">
      <c r="C216" s="61"/>
      <c r="H216" s="61"/>
      <c r="I216" s="61"/>
      <c r="J216" s="61"/>
      <c r="K216" s="61"/>
    </row>
    <row r="217">
      <c r="C217" s="61"/>
      <c r="H217" s="61"/>
      <c r="I217" s="61"/>
      <c r="J217" s="61"/>
      <c r="K217" s="61"/>
    </row>
    <row r="218">
      <c r="C218" s="61"/>
      <c r="H218" s="61"/>
      <c r="I218" s="61"/>
      <c r="J218" s="61"/>
      <c r="K218" s="61"/>
    </row>
    <row r="219">
      <c r="C219" s="61"/>
      <c r="H219" s="61"/>
      <c r="I219" s="61"/>
      <c r="J219" s="61"/>
      <c r="K219" s="61"/>
    </row>
    <row r="220">
      <c r="C220" s="61"/>
      <c r="H220" s="61"/>
      <c r="I220" s="61"/>
      <c r="J220" s="61"/>
      <c r="K220" s="61"/>
    </row>
    <row r="221">
      <c r="C221" s="61"/>
      <c r="H221" s="61"/>
      <c r="I221" s="61"/>
      <c r="J221" s="61"/>
      <c r="K221" s="61"/>
    </row>
    <row r="222">
      <c r="C222" s="61"/>
      <c r="H222" s="61"/>
      <c r="I222" s="61"/>
      <c r="J222" s="61"/>
      <c r="K222" s="61"/>
    </row>
    <row r="223">
      <c r="C223" s="61"/>
      <c r="H223" s="61"/>
      <c r="I223" s="61"/>
      <c r="J223" s="61"/>
      <c r="K223" s="61"/>
    </row>
    <row r="224">
      <c r="C224" s="61"/>
      <c r="H224" s="61"/>
      <c r="I224" s="61"/>
      <c r="J224" s="61"/>
      <c r="K224" s="61"/>
    </row>
    <row r="225">
      <c r="C225" s="61"/>
      <c r="H225" s="61"/>
      <c r="I225" s="61"/>
      <c r="J225" s="61"/>
      <c r="K225" s="61"/>
    </row>
    <row r="226">
      <c r="C226" s="61"/>
      <c r="H226" s="61"/>
      <c r="I226" s="61"/>
      <c r="J226" s="61"/>
      <c r="K226" s="61"/>
    </row>
    <row r="227">
      <c r="C227" s="61"/>
      <c r="H227" s="61"/>
      <c r="I227" s="61"/>
      <c r="J227" s="61"/>
      <c r="K227" s="61"/>
    </row>
    <row r="228">
      <c r="C228" s="61"/>
      <c r="H228" s="61"/>
      <c r="I228" s="61"/>
      <c r="J228" s="61"/>
      <c r="K228" s="61"/>
    </row>
    <row r="229">
      <c r="C229" s="61"/>
      <c r="H229" s="61"/>
      <c r="I229" s="61"/>
      <c r="J229" s="61"/>
      <c r="K229" s="61"/>
    </row>
    <row r="230">
      <c r="C230" s="61"/>
      <c r="H230" s="61"/>
      <c r="I230" s="61"/>
      <c r="J230" s="61"/>
      <c r="K230" s="61"/>
    </row>
    <row r="231">
      <c r="C231" s="61"/>
      <c r="H231" s="61"/>
      <c r="I231" s="61"/>
      <c r="J231" s="61"/>
      <c r="K231" s="61"/>
    </row>
    <row r="232">
      <c r="C232" s="61"/>
      <c r="H232" s="61"/>
      <c r="I232" s="61"/>
      <c r="J232" s="61"/>
      <c r="K232" s="61"/>
    </row>
    <row r="233">
      <c r="C233" s="61"/>
      <c r="H233" s="61"/>
      <c r="I233" s="61"/>
      <c r="J233" s="61"/>
      <c r="K233" s="61"/>
    </row>
    <row r="234">
      <c r="C234" s="61"/>
      <c r="H234" s="61"/>
      <c r="I234" s="61"/>
      <c r="J234" s="61"/>
      <c r="K234" s="61"/>
    </row>
    <row r="235">
      <c r="C235" s="61"/>
      <c r="H235" s="61"/>
      <c r="I235" s="61"/>
      <c r="J235" s="61"/>
      <c r="K235" s="61"/>
    </row>
    <row r="236">
      <c r="C236" s="61"/>
      <c r="H236" s="61"/>
      <c r="I236" s="61"/>
      <c r="J236" s="61"/>
      <c r="K236" s="61"/>
    </row>
    <row r="237">
      <c r="C237" s="61"/>
      <c r="H237" s="61"/>
      <c r="I237" s="61"/>
      <c r="J237" s="61"/>
      <c r="K237" s="61"/>
    </row>
    <row r="238">
      <c r="C238" s="61"/>
      <c r="H238" s="61"/>
      <c r="I238" s="61"/>
      <c r="J238" s="61"/>
      <c r="K238" s="61"/>
    </row>
    <row r="239">
      <c r="C239" s="61"/>
      <c r="H239" s="61"/>
      <c r="I239" s="61"/>
      <c r="J239" s="61"/>
      <c r="K239" s="61"/>
    </row>
    <row r="240">
      <c r="C240" s="61"/>
      <c r="H240" s="61"/>
      <c r="I240" s="61"/>
      <c r="J240" s="61"/>
      <c r="K240" s="61"/>
    </row>
    <row r="241">
      <c r="C241" s="61"/>
      <c r="H241" s="61"/>
      <c r="I241" s="61"/>
      <c r="J241" s="61"/>
      <c r="K241" s="61"/>
    </row>
    <row r="242">
      <c r="C242" s="61"/>
      <c r="H242" s="61"/>
      <c r="I242" s="61"/>
      <c r="J242" s="61"/>
      <c r="K242" s="61"/>
    </row>
    <row r="243">
      <c r="C243" s="61"/>
      <c r="H243" s="61"/>
      <c r="I243" s="61"/>
      <c r="J243" s="61"/>
      <c r="K243" s="61"/>
    </row>
    <row r="244">
      <c r="C244" s="61"/>
      <c r="H244" s="61"/>
      <c r="I244" s="61"/>
      <c r="J244" s="61"/>
      <c r="K244" s="61"/>
    </row>
    <row r="245">
      <c r="C245" s="61"/>
      <c r="H245" s="61"/>
      <c r="I245" s="61"/>
      <c r="J245" s="61"/>
      <c r="K245" s="61"/>
    </row>
    <row r="246">
      <c r="C246" s="61"/>
      <c r="H246" s="61"/>
      <c r="I246" s="61"/>
      <c r="J246" s="61"/>
      <c r="K246" s="61"/>
    </row>
    <row r="247">
      <c r="C247" s="61"/>
      <c r="H247" s="61"/>
      <c r="I247" s="61"/>
      <c r="J247" s="61"/>
      <c r="K247" s="61"/>
    </row>
    <row r="248">
      <c r="C248" s="61"/>
      <c r="H248" s="61"/>
      <c r="I248" s="61"/>
      <c r="J248" s="61"/>
      <c r="K248" s="61"/>
    </row>
    <row r="249">
      <c r="C249" s="61"/>
      <c r="H249" s="61"/>
      <c r="I249" s="61"/>
      <c r="J249" s="61"/>
      <c r="K249" s="61"/>
    </row>
    <row r="250">
      <c r="C250" s="61"/>
      <c r="H250" s="61"/>
      <c r="I250" s="61"/>
      <c r="J250" s="61"/>
      <c r="K250" s="61"/>
    </row>
    <row r="251">
      <c r="C251" s="61"/>
      <c r="H251" s="61"/>
      <c r="I251" s="61"/>
      <c r="J251" s="61"/>
      <c r="K251" s="61"/>
    </row>
    <row r="252">
      <c r="C252" s="61"/>
      <c r="H252" s="61"/>
      <c r="I252" s="61"/>
      <c r="J252" s="61"/>
      <c r="K252" s="61"/>
    </row>
    <row r="253">
      <c r="C253" s="61"/>
      <c r="H253" s="61"/>
      <c r="I253" s="61"/>
      <c r="J253" s="61"/>
      <c r="K253" s="61"/>
    </row>
    <row r="254">
      <c r="C254" s="61"/>
      <c r="H254" s="61"/>
      <c r="I254" s="61"/>
      <c r="J254" s="61"/>
      <c r="K254" s="61"/>
    </row>
    <row r="255">
      <c r="C255" s="61"/>
      <c r="H255" s="61"/>
      <c r="I255" s="61"/>
      <c r="J255" s="61"/>
      <c r="K255" s="61"/>
    </row>
    <row r="256">
      <c r="C256" s="61"/>
      <c r="H256" s="61"/>
      <c r="I256" s="61"/>
      <c r="J256" s="61"/>
      <c r="K256" s="61"/>
    </row>
    <row r="257">
      <c r="C257" s="61"/>
      <c r="H257" s="61"/>
      <c r="I257" s="61"/>
      <c r="J257" s="61"/>
      <c r="K257" s="61"/>
    </row>
    <row r="258">
      <c r="C258" s="61"/>
      <c r="H258" s="61"/>
      <c r="I258" s="61"/>
      <c r="J258" s="61"/>
      <c r="K258" s="61"/>
    </row>
    <row r="259">
      <c r="C259" s="61"/>
      <c r="H259" s="61"/>
      <c r="I259" s="61"/>
      <c r="J259" s="61"/>
      <c r="K259" s="61"/>
    </row>
    <row r="260">
      <c r="C260" s="61"/>
      <c r="H260" s="61"/>
      <c r="I260" s="61"/>
      <c r="J260" s="61"/>
      <c r="K260" s="61"/>
    </row>
    <row r="261">
      <c r="C261" s="61"/>
      <c r="H261" s="61"/>
      <c r="I261" s="61"/>
      <c r="J261" s="61"/>
      <c r="K261" s="61"/>
    </row>
    <row r="262">
      <c r="C262" s="61"/>
      <c r="H262" s="61"/>
      <c r="I262" s="61"/>
      <c r="J262" s="61"/>
      <c r="K262" s="61"/>
    </row>
    <row r="263">
      <c r="C263" s="61"/>
      <c r="H263" s="61"/>
      <c r="I263" s="61"/>
      <c r="J263" s="61"/>
      <c r="K263" s="61"/>
    </row>
    <row r="264">
      <c r="C264" s="61"/>
      <c r="H264" s="61"/>
      <c r="I264" s="61"/>
      <c r="J264" s="61"/>
      <c r="K264" s="61"/>
    </row>
    <row r="265">
      <c r="C265" s="61"/>
      <c r="H265" s="61"/>
      <c r="I265" s="61"/>
      <c r="J265" s="61"/>
      <c r="K265" s="61"/>
    </row>
    <row r="266">
      <c r="C266" s="61"/>
      <c r="H266" s="61"/>
      <c r="I266" s="61"/>
      <c r="J266" s="61"/>
      <c r="K266" s="61"/>
    </row>
    <row r="267">
      <c r="C267" s="61"/>
      <c r="H267" s="61"/>
      <c r="I267" s="61"/>
      <c r="J267" s="61"/>
      <c r="K267" s="61"/>
    </row>
    <row r="268">
      <c r="C268" s="61"/>
      <c r="H268" s="61"/>
      <c r="I268" s="61"/>
      <c r="J268" s="61"/>
      <c r="K268" s="61"/>
    </row>
    <row r="269">
      <c r="C269" s="61"/>
      <c r="H269" s="61"/>
      <c r="I269" s="61"/>
      <c r="J269" s="61"/>
      <c r="K269" s="61"/>
    </row>
    <row r="270">
      <c r="C270" s="61"/>
      <c r="H270" s="61"/>
      <c r="I270" s="61"/>
      <c r="J270" s="61"/>
      <c r="K270" s="61"/>
    </row>
    <row r="271">
      <c r="C271" s="61"/>
      <c r="H271" s="61"/>
      <c r="I271" s="61"/>
      <c r="J271" s="61"/>
      <c r="K271" s="61"/>
    </row>
    <row r="272">
      <c r="C272" s="61"/>
      <c r="H272" s="61"/>
      <c r="I272" s="61"/>
      <c r="J272" s="61"/>
      <c r="K272" s="61"/>
    </row>
    <row r="273">
      <c r="C273" s="61"/>
      <c r="H273" s="61"/>
      <c r="I273" s="61"/>
      <c r="J273" s="61"/>
      <c r="K273" s="61"/>
    </row>
    <row r="274">
      <c r="C274" s="61"/>
      <c r="H274" s="61"/>
      <c r="I274" s="61"/>
      <c r="J274" s="61"/>
      <c r="K274" s="61"/>
    </row>
    <row r="275">
      <c r="C275" s="61"/>
      <c r="H275" s="61"/>
      <c r="I275" s="61"/>
      <c r="J275" s="61"/>
      <c r="K275" s="61"/>
    </row>
    <row r="276">
      <c r="C276" s="61"/>
      <c r="H276" s="61"/>
      <c r="I276" s="61"/>
      <c r="J276" s="61"/>
      <c r="K276" s="61"/>
    </row>
    <row r="277">
      <c r="C277" s="61"/>
      <c r="H277" s="61"/>
      <c r="I277" s="61"/>
      <c r="J277" s="61"/>
      <c r="K277" s="61"/>
    </row>
    <row r="278">
      <c r="C278" s="61"/>
      <c r="H278" s="61"/>
      <c r="I278" s="61"/>
      <c r="J278" s="61"/>
      <c r="K278" s="61"/>
    </row>
    <row r="279">
      <c r="C279" s="61"/>
      <c r="H279" s="61"/>
      <c r="I279" s="61"/>
      <c r="J279" s="61"/>
      <c r="K279" s="61"/>
    </row>
    <row r="280">
      <c r="C280" s="61"/>
      <c r="H280" s="61"/>
      <c r="I280" s="61"/>
      <c r="J280" s="61"/>
      <c r="K280" s="61"/>
    </row>
    <row r="281">
      <c r="C281" s="61"/>
      <c r="H281" s="61"/>
      <c r="I281" s="61"/>
      <c r="J281" s="61"/>
      <c r="K281" s="61"/>
    </row>
    <row r="282">
      <c r="C282" s="61"/>
      <c r="H282" s="61"/>
      <c r="I282" s="61"/>
      <c r="J282" s="61"/>
      <c r="K282" s="61"/>
    </row>
    <row r="283">
      <c r="C283" s="61"/>
      <c r="H283" s="61"/>
      <c r="I283" s="61"/>
      <c r="J283" s="61"/>
      <c r="K283" s="61"/>
    </row>
    <row r="284">
      <c r="C284" s="61"/>
      <c r="H284" s="61"/>
      <c r="I284" s="61"/>
      <c r="J284" s="61"/>
      <c r="K284" s="61"/>
    </row>
    <row r="285">
      <c r="C285" s="61"/>
      <c r="H285" s="61"/>
      <c r="I285" s="61"/>
      <c r="J285" s="61"/>
      <c r="K285" s="61"/>
    </row>
    <row r="286">
      <c r="C286" s="61"/>
      <c r="H286" s="61"/>
      <c r="I286" s="61"/>
      <c r="J286" s="61"/>
      <c r="K286" s="61"/>
    </row>
    <row r="287">
      <c r="C287" s="61"/>
      <c r="H287" s="61"/>
      <c r="I287" s="61"/>
      <c r="J287" s="61"/>
      <c r="K287" s="61"/>
    </row>
    <row r="288">
      <c r="C288" s="61"/>
      <c r="H288" s="61"/>
      <c r="I288" s="61"/>
      <c r="J288" s="61"/>
      <c r="K288" s="61"/>
    </row>
    <row r="289">
      <c r="C289" s="61"/>
      <c r="H289" s="61"/>
      <c r="I289" s="61"/>
      <c r="J289" s="61"/>
      <c r="K289" s="61"/>
    </row>
    <row r="290">
      <c r="C290" s="61"/>
      <c r="H290" s="61"/>
      <c r="I290" s="61"/>
      <c r="J290" s="61"/>
      <c r="K290" s="61"/>
    </row>
    <row r="291">
      <c r="C291" s="61"/>
      <c r="H291" s="61"/>
      <c r="I291" s="61"/>
      <c r="J291" s="61"/>
      <c r="K291" s="61"/>
    </row>
    <row r="292">
      <c r="C292" s="61"/>
      <c r="H292" s="61"/>
      <c r="I292" s="61"/>
      <c r="J292" s="61"/>
      <c r="K292" s="61"/>
    </row>
    <row r="293">
      <c r="C293" s="61"/>
      <c r="H293" s="61"/>
      <c r="I293" s="61"/>
      <c r="J293" s="61"/>
      <c r="K293" s="61"/>
    </row>
    <row r="294">
      <c r="C294" s="61"/>
      <c r="H294" s="61"/>
      <c r="I294" s="61"/>
      <c r="J294" s="61"/>
      <c r="K294" s="61"/>
    </row>
    <row r="295">
      <c r="C295" s="61"/>
      <c r="H295" s="61"/>
      <c r="I295" s="61"/>
      <c r="J295" s="61"/>
      <c r="K295" s="61"/>
    </row>
    <row r="296">
      <c r="C296" s="61"/>
      <c r="H296" s="61"/>
      <c r="I296" s="61"/>
      <c r="J296" s="61"/>
      <c r="K296" s="61"/>
    </row>
    <row r="297">
      <c r="C297" s="61"/>
      <c r="H297" s="61"/>
      <c r="I297" s="61"/>
      <c r="J297" s="61"/>
      <c r="K297" s="61"/>
    </row>
    <row r="298">
      <c r="C298" s="61"/>
      <c r="H298" s="61"/>
      <c r="I298" s="61"/>
      <c r="J298" s="61"/>
      <c r="K298" s="61"/>
    </row>
    <row r="299">
      <c r="C299" s="61"/>
      <c r="H299" s="61"/>
      <c r="I299" s="61"/>
      <c r="J299" s="61"/>
      <c r="K299" s="61"/>
    </row>
    <row r="300">
      <c r="C300" s="61"/>
      <c r="H300" s="61"/>
      <c r="I300" s="61"/>
      <c r="J300" s="61"/>
      <c r="K300" s="61"/>
    </row>
    <row r="301">
      <c r="C301" s="61"/>
      <c r="H301" s="61"/>
      <c r="I301" s="61"/>
      <c r="J301" s="61"/>
      <c r="K301" s="61"/>
    </row>
    <row r="302">
      <c r="C302" s="61"/>
      <c r="H302" s="61"/>
      <c r="I302" s="61"/>
      <c r="J302" s="61"/>
      <c r="K302" s="61"/>
    </row>
    <row r="303">
      <c r="C303" s="61"/>
      <c r="H303" s="61"/>
      <c r="I303" s="61"/>
      <c r="J303" s="61"/>
      <c r="K303" s="61"/>
    </row>
    <row r="304">
      <c r="C304" s="61"/>
      <c r="H304" s="61"/>
      <c r="I304" s="61"/>
      <c r="J304" s="61"/>
      <c r="K304" s="61"/>
    </row>
    <row r="305">
      <c r="C305" s="61"/>
      <c r="H305" s="61"/>
      <c r="I305" s="61"/>
      <c r="J305" s="61"/>
      <c r="K305" s="61"/>
    </row>
    <row r="306">
      <c r="C306" s="61"/>
      <c r="H306" s="61"/>
      <c r="I306" s="61"/>
      <c r="J306" s="61"/>
      <c r="K306" s="61"/>
    </row>
    <row r="307">
      <c r="C307" s="61"/>
      <c r="H307" s="61"/>
      <c r="I307" s="61"/>
      <c r="J307" s="61"/>
      <c r="K307" s="61"/>
    </row>
    <row r="308">
      <c r="C308" s="61"/>
      <c r="H308" s="61"/>
      <c r="I308" s="61"/>
      <c r="J308" s="61"/>
      <c r="K308" s="61"/>
    </row>
    <row r="309">
      <c r="C309" s="61"/>
      <c r="H309" s="61"/>
      <c r="I309" s="61"/>
      <c r="J309" s="61"/>
      <c r="K309" s="61"/>
    </row>
    <row r="310">
      <c r="C310" s="61"/>
      <c r="H310" s="61"/>
      <c r="I310" s="61"/>
      <c r="J310" s="61"/>
      <c r="K310" s="61"/>
    </row>
    <row r="311">
      <c r="C311" s="61"/>
      <c r="H311" s="61"/>
      <c r="I311" s="61"/>
      <c r="J311" s="61"/>
      <c r="K311" s="61"/>
    </row>
    <row r="312">
      <c r="C312" s="61"/>
      <c r="H312" s="61"/>
      <c r="I312" s="61"/>
      <c r="J312" s="61"/>
      <c r="K312" s="61"/>
    </row>
    <row r="313">
      <c r="C313" s="61"/>
      <c r="H313" s="61"/>
      <c r="I313" s="61"/>
      <c r="J313" s="61"/>
      <c r="K313" s="61"/>
    </row>
    <row r="314">
      <c r="C314" s="61"/>
      <c r="H314" s="61"/>
      <c r="I314" s="61"/>
      <c r="J314" s="61"/>
      <c r="K314" s="61"/>
    </row>
    <row r="315">
      <c r="C315" s="61"/>
      <c r="H315" s="61"/>
      <c r="I315" s="61"/>
      <c r="J315" s="61"/>
      <c r="K315" s="61"/>
    </row>
    <row r="316">
      <c r="C316" s="61"/>
      <c r="H316" s="61"/>
      <c r="I316" s="61"/>
      <c r="J316" s="61"/>
      <c r="K316" s="61"/>
    </row>
    <row r="317">
      <c r="C317" s="61"/>
      <c r="H317" s="61"/>
      <c r="I317" s="61"/>
      <c r="J317" s="61"/>
      <c r="K317" s="61"/>
    </row>
    <row r="318">
      <c r="C318" s="61"/>
      <c r="H318" s="61"/>
      <c r="I318" s="61"/>
      <c r="J318" s="61"/>
      <c r="K318" s="61"/>
    </row>
    <row r="319">
      <c r="C319" s="61"/>
      <c r="H319" s="61"/>
      <c r="I319" s="61"/>
      <c r="J319" s="61"/>
      <c r="K319" s="61"/>
    </row>
    <row r="320">
      <c r="C320" s="61"/>
      <c r="H320" s="61"/>
      <c r="I320" s="61"/>
      <c r="J320" s="61"/>
      <c r="K320" s="61"/>
    </row>
    <row r="321">
      <c r="C321" s="61"/>
      <c r="H321" s="61"/>
      <c r="I321" s="61"/>
      <c r="J321" s="61"/>
      <c r="K321" s="61"/>
    </row>
    <row r="322">
      <c r="C322" s="61"/>
      <c r="H322" s="61"/>
      <c r="I322" s="61"/>
      <c r="J322" s="61"/>
      <c r="K322" s="61"/>
    </row>
    <row r="323">
      <c r="C323" s="61"/>
      <c r="H323" s="61"/>
      <c r="I323" s="61"/>
      <c r="J323" s="61"/>
      <c r="K323" s="61"/>
    </row>
    <row r="324">
      <c r="C324" s="61"/>
      <c r="H324" s="61"/>
      <c r="I324" s="61"/>
      <c r="J324" s="61"/>
      <c r="K324" s="61"/>
    </row>
    <row r="325">
      <c r="C325" s="61"/>
      <c r="H325" s="61"/>
      <c r="I325" s="61"/>
      <c r="J325" s="61"/>
      <c r="K325" s="61"/>
    </row>
    <row r="326">
      <c r="C326" s="61"/>
      <c r="H326" s="61"/>
      <c r="I326" s="61"/>
      <c r="J326" s="61"/>
      <c r="K326" s="61"/>
    </row>
    <row r="327">
      <c r="C327" s="61"/>
      <c r="H327" s="61"/>
      <c r="I327" s="61"/>
      <c r="J327" s="61"/>
      <c r="K327" s="61"/>
    </row>
    <row r="328">
      <c r="C328" s="61"/>
      <c r="H328" s="61"/>
      <c r="I328" s="61"/>
      <c r="J328" s="61"/>
      <c r="K328" s="61"/>
    </row>
    <row r="329">
      <c r="C329" s="61"/>
      <c r="H329" s="61"/>
      <c r="I329" s="61"/>
      <c r="J329" s="61"/>
      <c r="K329" s="61"/>
    </row>
    <row r="330">
      <c r="C330" s="61"/>
      <c r="H330" s="61"/>
      <c r="I330" s="61"/>
      <c r="J330" s="61"/>
      <c r="K330" s="61"/>
    </row>
    <row r="331">
      <c r="C331" s="61"/>
      <c r="H331" s="61"/>
      <c r="I331" s="61"/>
      <c r="J331" s="61"/>
      <c r="K331" s="61"/>
    </row>
    <row r="332">
      <c r="C332" s="61"/>
      <c r="H332" s="61"/>
      <c r="I332" s="61"/>
      <c r="J332" s="61"/>
      <c r="K332" s="61"/>
    </row>
    <row r="333">
      <c r="C333" s="61"/>
      <c r="H333" s="61"/>
      <c r="I333" s="61"/>
      <c r="J333" s="61"/>
      <c r="K333" s="61"/>
    </row>
    <row r="334">
      <c r="C334" s="61"/>
      <c r="H334" s="61"/>
      <c r="I334" s="61"/>
      <c r="J334" s="61"/>
      <c r="K334" s="61"/>
    </row>
    <row r="335">
      <c r="C335" s="61"/>
      <c r="H335" s="61"/>
      <c r="I335" s="61"/>
      <c r="J335" s="61"/>
      <c r="K335" s="61"/>
    </row>
    <row r="336">
      <c r="C336" s="61"/>
      <c r="H336" s="61"/>
      <c r="I336" s="61"/>
      <c r="J336" s="61"/>
      <c r="K336" s="61"/>
    </row>
    <row r="337">
      <c r="C337" s="61"/>
      <c r="H337" s="61"/>
      <c r="I337" s="61"/>
      <c r="J337" s="61"/>
      <c r="K337" s="61"/>
    </row>
    <row r="338">
      <c r="C338" s="61"/>
      <c r="H338" s="61"/>
      <c r="I338" s="61"/>
      <c r="J338" s="61"/>
      <c r="K338" s="61"/>
    </row>
    <row r="339">
      <c r="C339" s="61"/>
      <c r="H339" s="61"/>
      <c r="I339" s="61"/>
      <c r="J339" s="61"/>
      <c r="K339" s="61"/>
    </row>
    <row r="340">
      <c r="C340" s="61"/>
      <c r="H340" s="61"/>
      <c r="I340" s="61"/>
      <c r="J340" s="61"/>
      <c r="K340" s="61"/>
    </row>
    <row r="341">
      <c r="C341" s="61"/>
      <c r="H341" s="61"/>
      <c r="I341" s="61"/>
      <c r="J341" s="61"/>
      <c r="K341" s="61"/>
    </row>
    <row r="342">
      <c r="C342" s="61"/>
      <c r="H342" s="61"/>
      <c r="I342" s="61"/>
      <c r="J342" s="61"/>
      <c r="K342" s="61"/>
    </row>
    <row r="343">
      <c r="C343" s="61"/>
      <c r="H343" s="61"/>
      <c r="I343" s="61"/>
      <c r="J343" s="61"/>
      <c r="K343" s="61"/>
    </row>
    <row r="344">
      <c r="C344" s="61"/>
      <c r="H344" s="61"/>
      <c r="I344" s="61"/>
      <c r="J344" s="61"/>
      <c r="K344" s="61"/>
    </row>
    <row r="345">
      <c r="C345" s="61"/>
      <c r="H345" s="61"/>
      <c r="I345" s="61"/>
      <c r="J345" s="61"/>
      <c r="K345" s="61"/>
    </row>
    <row r="346">
      <c r="C346" s="61"/>
      <c r="H346" s="61"/>
      <c r="I346" s="61"/>
      <c r="J346" s="61"/>
      <c r="K346" s="61"/>
    </row>
    <row r="347">
      <c r="C347" s="61"/>
      <c r="H347" s="61"/>
      <c r="I347" s="61"/>
      <c r="J347" s="61"/>
      <c r="K347" s="61"/>
    </row>
    <row r="348">
      <c r="C348" s="61"/>
      <c r="H348" s="61"/>
      <c r="I348" s="61"/>
      <c r="J348" s="61"/>
      <c r="K348" s="61"/>
    </row>
    <row r="349">
      <c r="C349" s="61"/>
      <c r="H349" s="61"/>
      <c r="I349" s="61"/>
      <c r="J349" s="61"/>
      <c r="K349" s="61"/>
    </row>
    <row r="350">
      <c r="C350" s="61"/>
      <c r="H350" s="61"/>
      <c r="I350" s="61"/>
      <c r="J350" s="61"/>
      <c r="K350" s="61"/>
    </row>
    <row r="351">
      <c r="C351" s="61"/>
      <c r="H351" s="61"/>
      <c r="I351" s="61"/>
      <c r="J351" s="61"/>
      <c r="K351" s="61"/>
    </row>
    <row r="352">
      <c r="C352" s="61"/>
      <c r="H352" s="61"/>
      <c r="I352" s="61"/>
      <c r="J352" s="61"/>
      <c r="K352" s="61"/>
    </row>
    <row r="353">
      <c r="C353" s="61"/>
      <c r="H353" s="61"/>
      <c r="I353" s="61"/>
      <c r="J353" s="61"/>
      <c r="K353" s="61"/>
    </row>
    <row r="354">
      <c r="C354" s="61"/>
      <c r="H354" s="61"/>
      <c r="I354" s="61"/>
      <c r="J354" s="61"/>
      <c r="K354" s="61"/>
    </row>
    <row r="355">
      <c r="C355" s="61"/>
      <c r="H355" s="61"/>
      <c r="I355" s="61"/>
      <c r="J355" s="61"/>
      <c r="K355" s="61"/>
    </row>
    <row r="356">
      <c r="C356" s="61"/>
      <c r="H356" s="61"/>
      <c r="I356" s="61"/>
      <c r="J356" s="61"/>
      <c r="K356" s="61"/>
    </row>
    <row r="357">
      <c r="C357" s="61"/>
      <c r="H357" s="61"/>
      <c r="I357" s="61"/>
      <c r="J357" s="61"/>
      <c r="K357" s="61"/>
    </row>
    <row r="358">
      <c r="C358" s="61"/>
      <c r="H358" s="61"/>
      <c r="I358" s="61"/>
      <c r="J358" s="61"/>
      <c r="K358" s="61"/>
    </row>
    <row r="359">
      <c r="C359" s="61"/>
      <c r="H359" s="61"/>
      <c r="I359" s="61"/>
      <c r="J359" s="61"/>
      <c r="K359" s="61"/>
    </row>
    <row r="360">
      <c r="C360" s="61"/>
      <c r="H360" s="61"/>
      <c r="I360" s="61"/>
      <c r="J360" s="61"/>
      <c r="K360" s="61"/>
    </row>
    <row r="361">
      <c r="C361" s="61"/>
      <c r="H361" s="61"/>
      <c r="I361" s="61"/>
      <c r="J361" s="61"/>
      <c r="K361" s="61"/>
    </row>
    <row r="362">
      <c r="C362" s="61"/>
      <c r="H362" s="61"/>
      <c r="I362" s="61"/>
      <c r="J362" s="61"/>
      <c r="K362" s="61"/>
    </row>
    <row r="363">
      <c r="C363" s="61"/>
      <c r="H363" s="61"/>
      <c r="I363" s="61"/>
      <c r="J363" s="61"/>
      <c r="K363" s="61"/>
    </row>
    <row r="364">
      <c r="C364" s="61"/>
      <c r="H364" s="61"/>
      <c r="I364" s="61"/>
      <c r="J364" s="61"/>
      <c r="K364" s="61"/>
    </row>
    <row r="365">
      <c r="C365" s="61"/>
      <c r="H365" s="61"/>
      <c r="I365" s="61"/>
      <c r="J365" s="61"/>
      <c r="K365" s="61"/>
    </row>
    <row r="366">
      <c r="C366" s="61"/>
      <c r="H366" s="61"/>
      <c r="I366" s="61"/>
      <c r="J366" s="61"/>
      <c r="K366" s="61"/>
    </row>
    <row r="367">
      <c r="C367" s="61"/>
      <c r="H367" s="61"/>
      <c r="I367" s="61"/>
      <c r="J367" s="61"/>
      <c r="K367" s="61"/>
    </row>
    <row r="368">
      <c r="C368" s="61"/>
      <c r="H368" s="61"/>
      <c r="I368" s="61"/>
      <c r="J368" s="61"/>
      <c r="K368" s="61"/>
    </row>
    <row r="369">
      <c r="C369" s="61"/>
      <c r="H369" s="61"/>
      <c r="I369" s="61"/>
      <c r="J369" s="61"/>
      <c r="K369" s="61"/>
    </row>
    <row r="370">
      <c r="C370" s="61"/>
      <c r="H370" s="61"/>
      <c r="I370" s="61"/>
      <c r="J370" s="61"/>
      <c r="K370" s="61"/>
    </row>
    <row r="371">
      <c r="C371" s="61"/>
      <c r="H371" s="61"/>
      <c r="I371" s="61"/>
      <c r="J371" s="61"/>
      <c r="K371" s="61"/>
    </row>
    <row r="372">
      <c r="C372" s="61"/>
      <c r="H372" s="61"/>
      <c r="I372" s="61"/>
      <c r="J372" s="61"/>
      <c r="K372" s="61"/>
    </row>
    <row r="373">
      <c r="C373" s="61"/>
      <c r="H373" s="61"/>
      <c r="I373" s="61"/>
      <c r="J373" s="61"/>
      <c r="K373" s="61"/>
    </row>
    <row r="374">
      <c r="C374" s="61"/>
      <c r="H374" s="61"/>
      <c r="I374" s="61"/>
      <c r="J374" s="61"/>
      <c r="K374" s="61"/>
    </row>
    <row r="375">
      <c r="C375" s="61"/>
      <c r="H375" s="61"/>
      <c r="I375" s="61"/>
      <c r="J375" s="61"/>
      <c r="K375" s="61"/>
    </row>
    <row r="376">
      <c r="C376" s="61"/>
      <c r="H376" s="61"/>
      <c r="I376" s="61"/>
      <c r="J376" s="61"/>
      <c r="K376" s="61"/>
    </row>
    <row r="377">
      <c r="C377" s="61"/>
      <c r="H377" s="61"/>
      <c r="I377" s="61"/>
      <c r="J377" s="61"/>
      <c r="K377" s="61"/>
    </row>
    <row r="378">
      <c r="C378" s="61"/>
      <c r="H378" s="61"/>
      <c r="I378" s="61"/>
      <c r="J378" s="61"/>
      <c r="K378" s="61"/>
    </row>
    <row r="379">
      <c r="C379" s="61"/>
      <c r="H379" s="61"/>
      <c r="I379" s="61"/>
      <c r="J379" s="61"/>
      <c r="K379" s="61"/>
    </row>
    <row r="380">
      <c r="C380" s="61"/>
      <c r="H380" s="61"/>
      <c r="I380" s="61"/>
      <c r="J380" s="61"/>
      <c r="K380" s="61"/>
    </row>
    <row r="381">
      <c r="C381" s="61"/>
      <c r="H381" s="61"/>
      <c r="I381" s="61"/>
      <c r="J381" s="61"/>
      <c r="K381" s="61"/>
    </row>
    <row r="382">
      <c r="C382" s="61"/>
      <c r="H382" s="61"/>
      <c r="I382" s="61"/>
      <c r="J382" s="61"/>
      <c r="K382" s="61"/>
    </row>
    <row r="383">
      <c r="C383" s="61"/>
      <c r="H383" s="61"/>
      <c r="I383" s="61"/>
      <c r="J383" s="61"/>
      <c r="K383" s="61"/>
    </row>
    <row r="384">
      <c r="C384" s="61"/>
      <c r="H384" s="61"/>
      <c r="I384" s="61"/>
      <c r="J384" s="61"/>
      <c r="K384" s="61"/>
    </row>
    <row r="385">
      <c r="C385" s="61"/>
      <c r="H385" s="61"/>
      <c r="I385" s="61"/>
      <c r="J385" s="61"/>
      <c r="K385" s="61"/>
    </row>
    <row r="386">
      <c r="C386" s="61"/>
      <c r="H386" s="61"/>
      <c r="I386" s="61"/>
      <c r="J386" s="61"/>
      <c r="K386" s="61"/>
    </row>
    <row r="387">
      <c r="C387" s="61"/>
      <c r="H387" s="61"/>
      <c r="I387" s="61"/>
      <c r="J387" s="61"/>
      <c r="K387" s="61"/>
    </row>
    <row r="388">
      <c r="C388" s="61"/>
      <c r="H388" s="61"/>
      <c r="I388" s="61"/>
      <c r="J388" s="61"/>
      <c r="K388" s="61"/>
    </row>
    <row r="389">
      <c r="C389" s="61"/>
      <c r="H389" s="61"/>
      <c r="I389" s="61"/>
      <c r="J389" s="61"/>
      <c r="K389" s="61"/>
    </row>
    <row r="390">
      <c r="C390" s="61"/>
      <c r="H390" s="61"/>
      <c r="I390" s="61"/>
      <c r="J390" s="61"/>
      <c r="K390" s="61"/>
    </row>
    <row r="391">
      <c r="C391" s="61"/>
      <c r="H391" s="61"/>
      <c r="I391" s="61"/>
      <c r="J391" s="61"/>
      <c r="K391" s="61"/>
    </row>
    <row r="392">
      <c r="C392" s="61"/>
      <c r="H392" s="61"/>
      <c r="I392" s="61"/>
      <c r="J392" s="61"/>
      <c r="K392" s="61"/>
    </row>
    <row r="393">
      <c r="C393" s="61"/>
      <c r="H393" s="61"/>
      <c r="I393" s="61"/>
      <c r="J393" s="61"/>
      <c r="K393" s="61"/>
    </row>
    <row r="394">
      <c r="C394" s="61"/>
      <c r="H394" s="61"/>
      <c r="I394" s="61"/>
      <c r="J394" s="61"/>
      <c r="K394" s="61"/>
    </row>
    <row r="395">
      <c r="C395" s="61"/>
      <c r="H395" s="61"/>
      <c r="I395" s="61"/>
      <c r="J395" s="61"/>
      <c r="K395" s="61"/>
    </row>
    <row r="396">
      <c r="C396" s="61"/>
      <c r="H396" s="61"/>
      <c r="I396" s="61"/>
      <c r="J396" s="61"/>
      <c r="K396" s="61"/>
    </row>
    <row r="397">
      <c r="C397" s="61"/>
      <c r="H397" s="61"/>
      <c r="I397" s="61"/>
      <c r="J397" s="61"/>
      <c r="K397" s="61"/>
    </row>
    <row r="398">
      <c r="C398" s="61"/>
      <c r="H398" s="61"/>
      <c r="I398" s="61"/>
      <c r="J398" s="61"/>
      <c r="K398" s="61"/>
    </row>
    <row r="399">
      <c r="C399" s="61"/>
      <c r="H399" s="61"/>
      <c r="I399" s="61"/>
      <c r="J399" s="61"/>
      <c r="K399" s="61"/>
    </row>
    <row r="400">
      <c r="C400" s="61"/>
      <c r="H400" s="61"/>
      <c r="I400" s="61"/>
      <c r="J400" s="61"/>
      <c r="K400" s="61"/>
    </row>
    <row r="401">
      <c r="C401" s="61"/>
      <c r="H401" s="61"/>
      <c r="I401" s="61"/>
      <c r="J401" s="61"/>
      <c r="K401" s="61"/>
    </row>
    <row r="402">
      <c r="C402" s="61"/>
      <c r="H402" s="61"/>
      <c r="I402" s="61"/>
      <c r="J402" s="61"/>
      <c r="K402" s="61"/>
    </row>
    <row r="403">
      <c r="C403" s="61"/>
      <c r="H403" s="61"/>
      <c r="I403" s="61"/>
      <c r="J403" s="61"/>
      <c r="K403" s="61"/>
    </row>
    <row r="404">
      <c r="C404" s="61"/>
      <c r="H404" s="61"/>
      <c r="I404" s="61"/>
      <c r="J404" s="61"/>
      <c r="K404" s="61"/>
    </row>
    <row r="405">
      <c r="C405" s="61"/>
      <c r="H405" s="61"/>
      <c r="I405" s="61"/>
      <c r="J405" s="61"/>
      <c r="K405" s="61"/>
    </row>
    <row r="406">
      <c r="C406" s="61"/>
      <c r="H406" s="61"/>
      <c r="I406" s="61"/>
      <c r="J406" s="61"/>
      <c r="K406" s="61"/>
    </row>
    <row r="407">
      <c r="C407" s="61"/>
      <c r="H407" s="61"/>
      <c r="I407" s="61"/>
      <c r="J407" s="61"/>
      <c r="K407" s="61"/>
    </row>
    <row r="408">
      <c r="C408" s="61"/>
      <c r="H408" s="61"/>
      <c r="I408" s="61"/>
      <c r="J408" s="61"/>
      <c r="K408" s="61"/>
    </row>
    <row r="409">
      <c r="C409" s="61"/>
      <c r="H409" s="61"/>
      <c r="I409" s="61"/>
      <c r="J409" s="61"/>
      <c r="K409" s="61"/>
    </row>
    <row r="410">
      <c r="C410" s="61"/>
      <c r="H410" s="61"/>
      <c r="I410" s="61"/>
      <c r="J410" s="61"/>
      <c r="K410" s="61"/>
    </row>
    <row r="411">
      <c r="C411" s="61"/>
      <c r="H411" s="61"/>
      <c r="I411" s="61"/>
      <c r="J411" s="61"/>
      <c r="K411" s="61"/>
    </row>
    <row r="412">
      <c r="C412" s="61"/>
      <c r="H412" s="61"/>
      <c r="I412" s="61"/>
      <c r="J412" s="61"/>
      <c r="K412" s="61"/>
    </row>
    <row r="413">
      <c r="C413" s="61"/>
      <c r="H413" s="61"/>
      <c r="I413" s="61"/>
      <c r="J413" s="61"/>
      <c r="K413" s="61"/>
    </row>
    <row r="414">
      <c r="C414" s="61"/>
      <c r="H414" s="61"/>
      <c r="I414" s="61"/>
      <c r="J414" s="61"/>
      <c r="K414" s="61"/>
    </row>
    <row r="415">
      <c r="C415" s="61"/>
      <c r="H415" s="61"/>
      <c r="I415" s="61"/>
      <c r="J415" s="61"/>
      <c r="K415" s="61"/>
    </row>
    <row r="416">
      <c r="C416" s="61"/>
      <c r="H416" s="61"/>
      <c r="I416" s="61"/>
      <c r="J416" s="61"/>
      <c r="K416" s="61"/>
    </row>
    <row r="417">
      <c r="C417" s="61"/>
      <c r="H417" s="61"/>
      <c r="I417" s="61"/>
      <c r="J417" s="61"/>
      <c r="K417" s="61"/>
    </row>
    <row r="418">
      <c r="C418" s="61"/>
      <c r="H418" s="61"/>
      <c r="I418" s="61"/>
      <c r="J418" s="61"/>
      <c r="K418" s="61"/>
    </row>
    <row r="419">
      <c r="C419" s="61"/>
      <c r="H419" s="61"/>
      <c r="I419" s="61"/>
      <c r="J419" s="61"/>
      <c r="K419" s="61"/>
    </row>
    <row r="420">
      <c r="C420" s="61"/>
      <c r="H420" s="61"/>
      <c r="I420" s="61"/>
      <c r="J420" s="61"/>
      <c r="K420" s="61"/>
    </row>
    <row r="421">
      <c r="C421" s="61"/>
      <c r="H421" s="61"/>
      <c r="I421" s="61"/>
      <c r="J421" s="61"/>
      <c r="K421" s="61"/>
    </row>
    <row r="422">
      <c r="C422" s="61"/>
      <c r="H422" s="61"/>
      <c r="I422" s="61"/>
      <c r="J422" s="61"/>
      <c r="K422" s="61"/>
    </row>
    <row r="423">
      <c r="C423" s="61"/>
      <c r="H423" s="61"/>
      <c r="I423" s="61"/>
      <c r="J423" s="61"/>
      <c r="K423" s="61"/>
    </row>
    <row r="424">
      <c r="C424" s="61"/>
      <c r="H424" s="61"/>
      <c r="I424" s="61"/>
      <c r="J424" s="61"/>
      <c r="K424" s="61"/>
    </row>
    <row r="425">
      <c r="C425" s="61"/>
      <c r="H425" s="61"/>
      <c r="I425" s="61"/>
      <c r="J425" s="61"/>
      <c r="K425" s="61"/>
    </row>
    <row r="426">
      <c r="C426" s="61"/>
      <c r="H426" s="61"/>
      <c r="I426" s="61"/>
      <c r="J426" s="61"/>
      <c r="K426" s="61"/>
    </row>
    <row r="427">
      <c r="C427" s="61"/>
      <c r="H427" s="61"/>
      <c r="I427" s="61"/>
      <c r="J427" s="61"/>
      <c r="K427" s="61"/>
    </row>
    <row r="428">
      <c r="C428" s="61"/>
      <c r="H428" s="61"/>
      <c r="I428" s="61"/>
      <c r="J428" s="61"/>
      <c r="K428" s="61"/>
    </row>
    <row r="429">
      <c r="C429" s="61"/>
      <c r="H429" s="61"/>
      <c r="I429" s="61"/>
      <c r="J429" s="61"/>
      <c r="K429" s="61"/>
    </row>
    <row r="430">
      <c r="C430" s="61"/>
      <c r="H430" s="61"/>
      <c r="I430" s="61"/>
      <c r="J430" s="61"/>
      <c r="K430" s="61"/>
    </row>
    <row r="431">
      <c r="C431" s="61"/>
      <c r="H431" s="61"/>
      <c r="I431" s="61"/>
      <c r="J431" s="61"/>
      <c r="K431" s="61"/>
    </row>
    <row r="432">
      <c r="C432" s="61"/>
      <c r="H432" s="61"/>
      <c r="I432" s="61"/>
      <c r="J432" s="61"/>
      <c r="K432" s="61"/>
    </row>
    <row r="433">
      <c r="C433" s="61"/>
      <c r="H433" s="61"/>
      <c r="I433" s="61"/>
      <c r="J433" s="61"/>
      <c r="K433" s="61"/>
    </row>
    <row r="434">
      <c r="C434" s="61"/>
      <c r="H434" s="61"/>
      <c r="I434" s="61"/>
      <c r="J434" s="61"/>
      <c r="K434" s="61"/>
    </row>
    <row r="435">
      <c r="C435" s="61"/>
      <c r="H435" s="61"/>
      <c r="I435" s="61"/>
      <c r="J435" s="61"/>
      <c r="K435" s="61"/>
    </row>
    <row r="436">
      <c r="C436" s="61"/>
      <c r="H436" s="61"/>
      <c r="I436" s="61"/>
      <c r="J436" s="61"/>
      <c r="K436" s="61"/>
    </row>
    <row r="437">
      <c r="C437" s="61"/>
      <c r="H437" s="61"/>
      <c r="I437" s="61"/>
      <c r="J437" s="61"/>
      <c r="K437" s="61"/>
    </row>
    <row r="438">
      <c r="C438" s="61"/>
      <c r="H438" s="61"/>
      <c r="I438" s="61"/>
      <c r="J438" s="61"/>
      <c r="K438" s="61"/>
    </row>
    <row r="439">
      <c r="C439" s="61"/>
      <c r="H439" s="61"/>
      <c r="I439" s="61"/>
      <c r="J439" s="61"/>
      <c r="K439" s="61"/>
    </row>
    <row r="440">
      <c r="C440" s="61"/>
      <c r="H440" s="61"/>
      <c r="I440" s="61"/>
      <c r="J440" s="61"/>
      <c r="K440" s="61"/>
    </row>
    <row r="441">
      <c r="C441" s="61"/>
      <c r="H441" s="61"/>
      <c r="I441" s="61"/>
      <c r="J441" s="61"/>
      <c r="K441" s="61"/>
    </row>
    <row r="442">
      <c r="C442" s="61"/>
      <c r="H442" s="61"/>
      <c r="I442" s="61"/>
      <c r="J442" s="61"/>
      <c r="K442" s="61"/>
    </row>
    <row r="443">
      <c r="C443" s="61"/>
      <c r="H443" s="61"/>
      <c r="I443" s="61"/>
      <c r="J443" s="61"/>
      <c r="K443" s="61"/>
    </row>
    <row r="444">
      <c r="C444" s="61"/>
      <c r="H444" s="61"/>
      <c r="I444" s="61"/>
      <c r="J444" s="61"/>
      <c r="K444" s="61"/>
    </row>
    <row r="445">
      <c r="C445" s="61"/>
      <c r="H445" s="61"/>
      <c r="I445" s="61"/>
      <c r="J445" s="61"/>
      <c r="K445" s="61"/>
    </row>
    <row r="446">
      <c r="C446" s="61"/>
      <c r="H446" s="61"/>
      <c r="I446" s="61"/>
      <c r="J446" s="61"/>
      <c r="K446" s="61"/>
    </row>
    <row r="447">
      <c r="C447" s="61"/>
      <c r="H447" s="61"/>
      <c r="I447" s="61"/>
      <c r="J447" s="61"/>
      <c r="K447" s="61"/>
    </row>
    <row r="448">
      <c r="C448" s="61"/>
      <c r="H448" s="61"/>
      <c r="I448" s="61"/>
      <c r="J448" s="61"/>
      <c r="K448" s="61"/>
    </row>
    <row r="449">
      <c r="C449" s="61"/>
      <c r="H449" s="61"/>
      <c r="I449" s="61"/>
      <c r="J449" s="61"/>
      <c r="K449" s="61"/>
    </row>
    <row r="450">
      <c r="C450" s="61"/>
      <c r="H450" s="61"/>
      <c r="I450" s="61"/>
      <c r="J450" s="61"/>
      <c r="K450" s="61"/>
    </row>
    <row r="451">
      <c r="C451" s="61"/>
      <c r="H451" s="61"/>
      <c r="I451" s="61"/>
      <c r="J451" s="61"/>
      <c r="K451" s="61"/>
    </row>
    <row r="452">
      <c r="C452" s="61"/>
      <c r="H452" s="61"/>
      <c r="I452" s="61"/>
      <c r="J452" s="61"/>
      <c r="K452" s="61"/>
    </row>
    <row r="453">
      <c r="C453" s="61"/>
      <c r="H453" s="61"/>
      <c r="I453" s="61"/>
      <c r="J453" s="61"/>
      <c r="K453" s="61"/>
    </row>
    <row r="454">
      <c r="C454" s="61"/>
      <c r="H454" s="61"/>
      <c r="I454" s="61"/>
      <c r="J454" s="61"/>
      <c r="K454" s="61"/>
    </row>
    <row r="455">
      <c r="C455" s="61"/>
      <c r="H455" s="61"/>
      <c r="I455" s="61"/>
      <c r="J455" s="61"/>
      <c r="K455" s="61"/>
    </row>
    <row r="456">
      <c r="C456" s="61"/>
      <c r="H456" s="61"/>
      <c r="I456" s="61"/>
      <c r="J456" s="61"/>
      <c r="K456" s="61"/>
    </row>
    <row r="457">
      <c r="C457" s="61"/>
      <c r="H457" s="61"/>
      <c r="I457" s="61"/>
      <c r="J457" s="61"/>
      <c r="K457" s="61"/>
    </row>
    <row r="458">
      <c r="C458" s="61"/>
      <c r="H458" s="61"/>
      <c r="I458" s="61"/>
      <c r="J458" s="61"/>
      <c r="K458" s="61"/>
    </row>
    <row r="459">
      <c r="C459" s="61"/>
      <c r="H459" s="61"/>
      <c r="I459" s="61"/>
      <c r="J459" s="61"/>
      <c r="K459" s="61"/>
    </row>
    <row r="460">
      <c r="C460" s="61"/>
      <c r="H460" s="61"/>
      <c r="I460" s="61"/>
      <c r="J460" s="61"/>
      <c r="K460" s="61"/>
    </row>
    <row r="461">
      <c r="C461" s="61"/>
      <c r="H461" s="61"/>
      <c r="I461" s="61"/>
      <c r="J461" s="61"/>
      <c r="K461" s="61"/>
    </row>
    <row r="462">
      <c r="C462" s="61"/>
      <c r="H462" s="61"/>
      <c r="I462" s="61"/>
      <c r="J462" s="61"/>
      <c r="K462" s="61"/>
    </row>
    <row r="463">
      <c r="C463" s="61"/>
      <c r="H463" s="61"/>
      <c r="I463" s="61"/>
      <c r="J463" s="61"/>
      <c r="K463" s="61"/>
    </row>
    <row r="464">
      <c r="C464" s="61"/>
      <c r="H464" s="61"/>
      <c r="I464" s="61"/>
      <c r="J464" s="61"/>
      <c r="K464" s="61"/>
    </row>
    <row r="465">
      <c r="C465" s="61"/>
      <c r="H465" s="61"/>
      <c r="I465" s="61"/>
      <c r="J465" s="61"/>
      <c r="K465" s="61"/>
    </row>
    <row r="466">
      <c r="C466" s="61"/>
      <c r="H466" s="61"/>
      <c r="I466" s="61"/>
      <c r="J466" s="61"/>
      <c r="K466" s="61"/>
    </row>
    <row r="467">
      <c r="C467" s="61"/>
      <c r="H467" s="61"/>
      <c r="I467" s="61"/>
      <c r="J467" s="61"/>
      <c r="K467" s="61"/>
    </row>
    <row r="468">
      <c r="C468" s="61"/>
      <c r="H468" s="61"/>
      <c r="I468" s="61"/>
      <c r="J468" s="61"/>
      <c r="K468" s="61"/>
    </row>
    <row r="469">
      <c r="C469" s="61"/>
      <c r="H469" s="61"/>
      <c r="I469" s="61"/>
      <c r="J469" s="61"/>
      <c r="K469" s="61"/>
    </row>
    <row r="470">
      <c r="C470" s="61"/>
      <c r="H470" s="61"/>
      <c r="I470" s="61"/>
      <c r="J470" s="61"/>
      <c r="K470" s="61"/>
    </row>
    <row r="471">
      <c r="C471" s="61"/>
      <c r="H471" s="61"/>
      <c r="I471" s="61"/>
      <c r="J471" s="61"/>
      <c r="K471" s="61"/>
    </row>
    <row r="472">
      <c r="C472" s="61"/>
      <c r="H472" s="61"/>
      <c r="I472" s="61"/>
      <c r="J472" s="61"/>
      <c r="K472" s="61"/>
    </row>
    <row r="473">
      <c r="C473" s="61"/>
      <c r="H473" s="61"/>
      <c r="I473" s="61"/>
      <c r="J473" s="61"/>
      <c r="K473" s="61"/>
    </row>
    <row r="474">
      <c r="C474" s="61"/>
      <c r="H474" s="61"/>
      <c r="I474" s="61"/>
      <c r="J474" s="61"/>
      <c r="K474" s="61"/>
    </row>
    <row r="475">
      <c r="C475" s="61"/>
      <c r="H475" s="61"/>
      <c r="I475" s="61"/>
      <c r="J475" s="61"/>
      <c r="K475" s="61"/>
    </row>
    <row r="476">
      <c r="C476" s="61"/>
      <c r="H476" s="61"/>
      <c r="I476" s="61"/>
      <c r="J476" s="61"/>
      <c r="K476" s="61"/>
    </row>
    <row r="477">
      <c r="C477" s="61"/>
      <c r="H477" s="61"/>
      <c r="I477" s="61"/>
      <c r="J477" s="61"/>
      <c r="K477" s="61"/>
    </row>
    <row r="478">
      <c r="C478" s="61"/>
      <c r="H478" s="61"/>
      <c r="I478" s="61"/>
      <c r="J478" s="61"/>
      <c r="K478" s="61"/>
    </row>
    <row r="479">
      <c r="C479" s="61"/>
      <c r="H479" s="61"/>
      <c r="I479" s="61"/>
      <c r="J479" s="61"/>
      <c r="K479" s="61"/>
    </row>
    <row r="480">
      <c r="C480" s="61"/>
      <c r="H480" s="61"/>
      <c r="I480" s="61"/>
      <c r="J480" s="61"/>
      <c r="K480" s="61"/>
    </row>
    <row r="481">
      <c r="C481" s="61"/>
      <c r="H481" s="61"/>
      <c r="I481" s="61"/>
      <c r="J481" s="61"/>
      <c r="K481" s="61"/>
    </row>
    <row r="482">
      <c r="C482" s="61"/>
      <c r="H482" s="61"/>
      <c r="I482" s="61"/>
      <c r="J482" s="61"/>
      <c r="K482" s="61"/>
    </row>
    <row r="483">
      <c r="C483" s="61"/>
      <c r="H483" s="61"/>
      <c r="I483" s="61"/>
      <c r="J483" s="61"/>
      <c r="K483" s="61"/>
    </row>
    <row r="484">
      <c r="C484" s="61"/>
      <c r="H484" s="61"/>
      <c r="I484" s="61"/>
      <c r="J484" s="61"/>
      <c r="K484" s="61"/>
    </row>
    <row r="485">
      <c r="C485" s="61"/>
      <c r="H485" s="61"/>
      <c r="I485" s="61"/>
      <c r="J485" s="61"/>
      <c r="K485" s="61"/>
    </row>
    <row r="486">
      <c r="C486" s="61"/>
      <c r="H486" s="61"/>
      <c r="I486" s="61"/>
      <c r="J486" s="61"/>
      <c r="K486" s="61"/>
    </row>
    <row r="487">
      <c r="C487" s="61"/>
      <c r="H487" s="61"/>
      <c r="I487" s="61"/>
      <c r="J487" s="61"/>
      <c r="K487" s="61"/>
    </row>
    <row r="488">
      <c r="C488" s="61"/>
      <c r="H488" s="61"/>
      <c r="I488" s="61"/>
      <c r="J488" s="61"/>
      <c r="K488" s="61"/>
    </row>
    <row r="489">
      <c r="C489" s="61"/>
      <c r="H489" s="61"/>
      <c r="I489" s="61"/>
      <c r="J489" s="61"/>
      <c r="K489" s="61"/>
    </row>
    <row r="490">
      <c r="C490" s="61"/>
      <c r="H490" s="61"/>
      <c r="I490" s="61"/>
      <c r="J490" s="61"/>
      <c r="K490" s="61"/>
    </row>
    <row r="491">
      <c r="C491" s="61"/>
      <c r="H491" s="61"/>
      <c r="I491" s="61"/>
      <c r="J491" s="61"/>
      <c r="K491" s="61"/>
    </row>
    <row r="492">
      <c r="C492" s="61"/>
      <c r="H492" s="61"/>
      <c r="I492" s="61"/>
      <c r="J492" s="61"/>
      <c r="K492" s="61"/>
    </row>
    <row r="493">
      <c r="C493" s="61"/>
      <c r="H493" s="61"/>
      <c r="I493" s="61"/>
      <c r="J493" s="61"/>
      <c r="K493" s="61"/>
    </row>
    <row r="494">
      <c r="C494" s="61"/>
      <c r="H494" s="61"/>
      <c r="I494" s="61"/>
      <c r="J494" s="61"/>
      <c r="K494" s="61"/>
    </row>
    <row r="495">
      <c r="C495" s="61"/>
      <c r="H495" s="61"/>
      <c r="I495" s="61"/>
      <c r="J495" s="61"/>
      <c r="K495" s="61"/>
    </row>
    <row r="496">
      <c r="C496" s="61"/>
      <c r="H496" s="61"/>
      <c r="I496" s="61"/>
      <c r="J496" s="61"/>
      <c r="K496" s="61"/>
    </row>
    <row r="497">
      <c r="C497" s="61"/>
      <c r="H497" s="61"/>
      <c r="I497" s="61"/>
      <c r="J497" s="61"/>
      <c r="K497" s="61"/>
    </row>
    <row r="498">
      <c r="C498" s="61"/>
      <c r="H498" s="61"/>
      <c r="I498" s="61"/>
      <c r="J498" s="61"/>
      <c r="K498" s="61"/>
    </row>
    <row r="499">
      <c r="C499" s="61"/>
      <c r="H499" s="61"/>
      <c r="I499" s="61"/>
      <c r="J499" s="61"/>
      <c r="K499" s="61"/>
    </row>
    <row r="500">
      <c r="C500" s="61"/>
      <c r="H500" s="61"/>
      <c r="I500" s="61"/>
      <c r="J500" s="61"/>
      <c r="K500" s="61"/>
    </row>
    <row r="501">
      <c r="C501" s="61"/>
      <c r="H501" s="61"/>
      <c r="I501" s="61"/>
      <c r="J501" s="61"/>
      <c r="K501" s="61"/>
    </row>
    <row r="502">
      <c r="C502" s="61"/>
      <c r="H502" s="61"/>
      <c r="I502" s="61"/>
      <c r="J502" s="61"/>
      <c r="K502" s="61"/>
    </row>
    <row r="503">
      <c r="C503" s="61"/>
      <c r="H503" s="61"/>
      <c r="I503" s="61"/>
      <c r="J503" s="61"/>
      <c r="K503" s="61"/>
    </row>
    <row r="504">
      <c r="C504" s="61"/>
      <c r="H504" s="61"/>
      <c r="I504" s="61"/>
      <c r="J504" s="61"/>
      <c r="K504" s="61"/>
    </row>
    <row r="505">
      <c r="C505" s="61"/>
      <c r="H505" s="61"/>
      <c r="I505" s="61"/>
      <c r="J505" s="61"/>
      <c r="K505" s="61"/>
    </row>
    <row r="506">
      <c r="C506" s="61"/>
      <c r="H506" s="61"/>
      <c r="I506" s="61"/>
      <c r="J506" s="61"/>
      <c r="K506" s="61"/>
    </row>
    <row r="507">
      <c r="C507" s="61"/>
      <c r="H507" s="61"/>
      <c r="I507" s="61"/>
      <c r="J507" s="61"/>
      <c r="K507" s="61"/>
    </row>
    <row r="508">
      <c r="C508" s="61"/>
      <c r="H508" s="61"/>
      <c r="I508" s="61"/>
      <c r="J508" s="61"/>
      <c r="K508" s="61"/>
    </row>
    <row r="509">
      <c r="C509" s="61"/>
      <c r="H509" s="61"/>
      <c r="I509" s="61"/>
      <c r="J509" s="61"/>
      <c r="K509" s="61"/>
    </row>
    <row r="510">
      <c r="C510" s="61"/>
      <c r="H510" s="61"/>
      <c r="I510" s="61"/>
      <c r="J510" s="61"/>
      <c r="K510" s="61"/>
    </row>
    <row r="511">
      <c r="C511" s="61"/>
      <c r="H511" s="61"/>
      <c r="I511" s="61"/>
      <c r="J511" s="61"/>
      <c r="K511" s="61"/>
    </row>
    <row r="512">
      <c r="C512" s="61"/>
      <c r="H512" s="61"/>
      <c r="I512" s="61"/>
      <c r="J512" s="61"/>
      <c r="K512" s="61"/>
    </row>
    <row r="513">
      <c r="C513" s="61"/>
      <c r="H513" s="61"/>
      <c r="I513" s="61"/>
      <c r="J513" s="61"/>
      <c r="K513" s="61"/>
    </row>
    <row r="514">
      <c r="C514" s="61"/>
      <c r="H514" s="61"/>
      <c r="I514" s="61"/>
      <c r="J514" s="61"/>
      <c r="K514" s="61"/>
    </row>
    <row r="515">
      <c r="C515" s="61"/>
      <c r="H515" s="61"/>
      <c r="I515" s="61"/>
      <c r="J515" s="61"/>
      <c r="K515" s="61"/>
    </row>
    <row r="516">
      <c r="C516" s="61"/>
      <c r="H516" s="61"/>
      <c r="I516" s="61"/>
      <c r="J516" s="61"/>
      <c r="K516" s="61"/>
    </row>
    <row r="517">
      <c r="C517" s="61"/>
      <c r="H517" s="61"/>
      <c r="I517" s="61"/>
      <c r="J517" s="61"/>
      <c r="K517" s="61"/>
    </row>
    <row r="518">
      <c r="C518" s="61"/>
      <c r="H518" s="61"/>
      <c r="I518" s="61"/>
      <c r="J518" s="61"/>
      <c r="K518" s="61"/>
    </row>
    <row r="519">
      <c r="C519" s="61"/>
      <c r="H519" s="61"/>
      <c r="I519" s="61"/>
      <c r="J519" s="61"/>
      <c r="K519" s="61"/>
    </row>
    <row r="520">
      <c r="C520" s="61"/>
      <c r="H520" s="61"/>
      <c r="I520" s="61"/>
      <c r="J520" s="61"/>
      <c r="K520" s="61"/>
    </row>
    <row r="521">
      <c r="C521" s="61"/>
      <c r="H521" s="61"/>
      <c r="I521" s="61"/>
      <c r="J521" s="61"/>
      <c r="K521" s="61"/>
    </row>
    <row r="522">
      <c r="C522" s="61"/>
      <c r="H522" s="61"/>
      <c r="I522" s="61"/>
      <c r="J522" s="61"/>
      <c r="K522" s="61"/>
    </row>
    <row r="523">
      <c r="C523" s="61"/>
      <c r="H523" s="61"/>
      <c r="I523" s="61"/>
      <c r="J523" s="61"/>
      <c r="K523" s="61"/>
    </row>
    <row r="524">
      <c r="C524" s="61"/>
      <c r="H524" s="61"/>
      <c r="I524" s="61"/>
      <c r="J524" s="61"/>
      <c r="K524" s="61"/>
    </row>
    <row r="525">
      <c r="C525" s="61"/>
      <c r="H525" s="61"/>
      <c r="I525" s="61"/>
      <c r="J525" s="61"/>
      <c r="K525" s="61"/>
    </row>
    <row r="526">
      <c r="C526" s="61"/>
      <c r="H526" s="61"/>
      <c r="I526" s="61"/>
      <c r="J526" s="61"/>
      <c r="K526" s="61"/>
    </row>
    <row r="527">
      <c r="C527" s="61"/>
      <c r="H527" s="61"/>
      <c r="I527" s="61"/>
      <c r="J527" s="61"/>
      <c r="K527" s="61"/>
    </row>
    <row r="528">
      <c r="C528" s="61"/>
      <c r="H528" s="61"/>
      <c r="I528" s="61"/>
      <c r="J528" s="61"/>
      <c r="K528" s="61"/>
    </row>
    <row r="529">
      <c r="C529" s="61"/>
      <c r="H529" s="61"/>
      <c r="I529" s="61"/>
      <c r="J529" s="61"/>
      <c r="K529" s="61"/>
    </row>
    <row r="530">
      <c r="C530" s="61"/>
      <c r="H530" s="61"/>
      <c r="I530" s="61"/>
      <c r="J530" s="61"/>
      <c r="K530" s="61"/>
    </row>
    <row r="531">
      <c r="C531" s="61"/>
      <c r="H531" s="61"/>
      <c r="I531" s="61"/>
      <c r="J531" s="61"/>
      <c r="K531" s="61"/>
    </row>
    <row r="532">
      <c r="C532" s="61"/>
      <c r="H532" s="61"/>
      <c r="I532" s="61"/>
      <c r="J532" s="61"/>
      <c r="K532" s="61"/>
    </row>
    <row r="533">
      <c r="C533" s="61"/>
      <c r="H533" s="61"/>
      <c r="I533" s="61"/>
      <c r="J533" s="61"/>
      <c r="K533" s="61"/>
    </row>
    <row r="534">
      <c r="C534" s="61"/>
      <c r="H534" s="61"/>
      <c r="I534" s="61"/>
      <c r="J534" s="61"/>
      <c r="K534" s="61"/>
    </row>
    <row r="535">
      <c r="C535" s="61"/>
      <c r="H535" s="61"/>
      <c r="I535" s="61"/>
      <c r="J535" s="61"/>
      <c r="K535" s="61"/>
    </row>
    <row r="536">
      <c r="C536" s="61"/>
      <c r="H536" s="61"/>
      <c r="I536" s="61"/>
      <c r="J536" s="61"/>
      <c r="K536" s="61"/>
    </row>
    <row r="537">
      <c r="C537" s="61"/>
      <c r="H537" s="61"/>
      <c r="I537" s="61"/>
      <c r="J537" s="61"/>
      <c r="K537" s="61"/>
    </row>
    <row r="538">
      <c r="C538" s="61"/>
      <c r="H538" s="61"/>
      <c r="I538" s="61"/>
      <c r="J538" s="61"/>
      <c r="K538" s="61"/>
    </row>
    <row r="539">
      <c r="C539" s="61"/>
      <c r="H539" s="61"/>
      <c r="I539" s="61"/>
      <c r="J539" s="61"/>
      <c r="K539" s="61"/>
    </row>
    <row r="540">
      <c r="C540" s="61"/>
      <c r="H540" s="61"/>
      <c r="I540" s="61"/>
      <c r="J540" s="61"/>
      <c r="K540" s="61"/>
    </row>
    <row r="541">
      <c r="C541" s="61"/>
      <c r="H541" s="61"/>
      <c r="I541" s="61"/>
      <c r="J541" s="61"/>
      <c r="K541" s="61"/>
    </row>
    <row r="542">
      <c r="C542" s="61"/>
      <c r="H542" s="61"/>
      <c r="I542" s="61"/>
      <c r="J542" s="61"/>
      <c r="K542" s="61"/>
    </row>
    <row r="543">
      <c r="C543" s="61"/>
      <c r="H543" s="61"/>
      <c r="I543" s="61"/>
      <c r="J543" s="61"/>
      <c r="K543" s="61"/>
    </row>
    <row r="544">
      <c r="C544" s="61"/>
      <c r="H544" s="61"/>
      <c r="I544" s="61"/>
      <c r="J544" s="61"/>
      <c r="K544" s="61"/>
    </row>
    <row r="545">
      <c r="C545" s="61"/>
      <c r="H545" s="61"/>
      <c r="I545" s="61"/>
      <c r="J545" s="61"/>
      <c r="K545" s="61"/>
    </row>
    <row r="546">
      <c r="C546" s="61"/>
      <c r="H546" s="61"/>
      <c r="I546" s="61"/>
      <c r="J546" s="61"/>
      <c r="K546" s="61"/>
    </row>
    <row r="547">
      <c r="C547" s="61"/>
      <c r="H547" s="61"/>
      <c r="I547" s="61"/>
      <c r="J547" s="61"/>
      <c r="K547" s="61"/>
    </row>
    <row r="548">
      <c r="C548" s="61"/>
      <c r="H548" s="61"/>
      <c r="I548" s="61"/>
      <c r="J548" s="61"/>
      <c r="K548" s="61"/>
    </row>
    <row r="549">
      <c r="C549" s="61"/>
      <c r="H549" s="61"/>
      <c r="I549" s="61"/>
      <c r="J549" s="61"/>
      <c r="K549" s="61"/>
    </row>
    <row r="550">
      <c r="C550" s="61"/>
      <c r="H550" s="61"/>
      <c r="I550" s="61"/>
      <c r="J550" s="61"/>
      <c r="K550" s="61"/>
    </row>
    <row r="551">
      <c r="C551" s="61"/>
      <c r="H551" s="61"/>
      <c r="I551" s="61"/>
      <c r="J551" s="61"/>
      <c r="K551" s="61"/>
    </row>
    <row r="552">
      <c r="C552" s="61"/>
      <c r="H552" s="61"/>
      <c r="I552" s="61"/>
      <c r="J552" s="61"/>
      <c r="K552" s="61"/>
    </row>
    <row r="553">
      <c r="C553" s="61"/>
      <c r="H553" s="61"/>
      <c r="I553" s="61"/>
      <c r="J553" s="61"/>
      <c r="K553" s="61"/>
    </row>
    <row r="554">
      <c r="C554" s="61"/>
      <c r="H554" s="61"/>
      <c r="I554" s="61"/>
      <c r="J554" s="61"/>
      <c r="K554" s="61"/>
    </row>
    <row r="555">
      <c r="C555" s="61"/>
      <c r="H555" s="61"/>
      <c r="I555" s="61"/>
      <c r="J555" s="61"/>
      <c r="K555" s="61"/>
    </row>
    <row r="556">
      <c r="C556" s="61"/>
      <c r="H556" s="61"/>
      <c r="I556" s="61"/>
      <c r="J556" s="61"/>
      <c r="K556" s="61"/>
    </row>
    <row r="557">
      <c r="C557" s="61"/>
      <c r="H557" s="61"/>
      <c r="I557" s="61"/>
      <c r="J557" s="61"/>
      <c r="K557" s="61"/>
    </row>
    <row r="558">
      <c r="C558" s="61"/>
      <c r="H558" s="61"/>
      <c r="I558" s="61"/>
      <c r="J558" s="61"/>
      <c r="K558" s="61"/>
    </row>
    <row r="559">
      <c r="C559" s="61"/>
      <c r="H559" s="61"/>
      <c r="I559" s="61"/>
      <c r="J559" s="61"/>
      <c r="K559" s="61"/>
    </row>
    <row r="560">
      <c r="C560" s="61"/>
      <c r="H560" s="61"/>
      <c r="I560" s="61"/>
      <c r="J560" s="61"/>
      <c r="K560" s="61"/>
    </row>
    <row r="561">
      <c r="C561" s="61"/>
      <c r="H561" s="61"/>
      <c r="I561" s="61"/>
      <c r="J561" s="61"/>
      <c r="K561" s="61"/>
    </row>
    <row r="562">
      <c r="C562" s="61"/>
      <c r="H562" s="61"/>
      <c r="I562" s="61"/>
      <c r="J562" s="61"/>
      <c r="K562" s="61"/>
    </row>
    <row r="563">
      <c r="C563" s="61"/>
      <c r="H563" s="61"/>
      <c r="I563" s="61"/>
      <c r="J563" s="61"/>
      <c r="K563" s="61"/>
    </row>
    <row r="564">
      <c r="C564" s="61"/>
      <c r="H564" s="61"/>
      <c r="I564" s="61"/>
      <c r="J564" s="61"/>
      <c r="K564" s="61"/>
    </row>
    <row r="565">
      <c r="C565" s="61"/>
      <c r="H565" s="61"/>
      <c r="I565" s="61"/>
      <c r="J565" s="61"/>
      <c r="K565" s="61"/>
    </row>
    <row r="566">
      <c r="C566" s="61"/>
      <c r="H566" s="61"/>
      <c r="I566" s="61"/>
      <c r="J566" s="61"/>
      <c r="K566" s="61"/>
    </row>
    <row r="567">
      <c r="C567" s="61"/>
      <c r="H567" s="61"/>
      <c r="I567" s="61"/>
      <c r="J567" s="61"/>
      <c r="K567" s="61"/>
    </row>
    <row r="568">
      <c r="C568" s="61"/>
      <c r="H568" s="61"/>
      <c r="I568" s="61"/>
      <c r="J568" s="61"/>
      <c r="K568" s="61"/>
    </row>
    <row r="569">
      <c r="C569" s="61"/>
      <c r="H569" s="61"/>
      <c r="I569" s="61"/>
      <c r="J569" s="61"/>
      <c r="K569" s="61"/>
    </row>
    <row r="570">
      <c r="C570" s="61"/>
      <c r="H570" s="61"/>
      <c r="I570" s="61"/>
      <c r="J570" s="61"/>
      <c r="K570" s="61"/>
    </row>
    <row r="571">
      <c r="C571" s="61"/>
      <c r="H571" s="61"/>
      <c r="I571" s="61"/>
      <c r="J571" s="61"/>
      <c r="K571" s="61"/>
    </row>
    <row r="572">
      <c r="C572" s="61"/>
      <c r="H572" s="61"/>
      <c r="I572" s="61"/>
      <c r="J572" s="61"/>
      <c r="K572" s="61"/>
    </row>
    <row r="573">
      <c r="C573" s="61"/>
      <c r="H573" s="61"/>
      <c r="I573" s="61"/>
      <c r="J573" s="61"/>
      <c r="K573" s="61"/>
    </row>
    <row r="574">
      <c r="C574" s="61"/>
      <c r="H574" s="61"/>
      <c r="I574" s="61"/>
      <c r="J574" s="61"/>
      <c r="K574" s="61"/>
    </row>
    <row r="575">
      <c r="C575" s="61"/>
      <c r="H575" s="61"/>
      <c r="I575" s="61"/>
      <c r="J575" s="61"/>
      <c r="K575" s="61"/>
    </row>
    <row r="576">
      <c r="C576" s="61"/>
      <c r="H576" s="61"/>
      <c r="I576" s="61"/>
      <c r="J576" s="61"/>
      <c r="K576" s="61"/>
    </row>
    <row r="577">
      <c r="C577" s="61"/>
      <c r="H577" s="61"/>
      <c r="I577" s="61"/>
      <c r="J577" s="61"/>
      <c r="K577" s="61"/>
    </row>
    <row r="578">
      <c r="C578" s="61"/>
      <c r="H578" s="61"/>
      <c r="I578" s="61"/>
      <c r="J578" s="61"/>
      <c r="K578" s="61"/>
    </row>
    <row r="579">
      <c r="C579" s="61"/>
      <c r="H579" s="61"/>
      <c r="I579" s="61"/>
      <c r="J579" s="61"/>
      <c r="K579" s="61"/>
    </row>
    <row r="580">
      <c r="C580" s="61"/>
      <c r="H580" s="61"/>
      <c r="I580" s="61"/>
      <c r="J580" s="61"/>
      <c r="K580" s="61"/>
    </row>
    <row r="581">
      <c r="C581" s="61"/>
      <c r="H581" s="61"/>
      <c r="I581" s="61"/>
      <c r="J581" s="61"/>
      <c r="K581" s="61"/>
    </row>
    <row r="582">
      <c r="C582" s="61"/>
      <c r="H582" s="61"/>
      <c r="I582" s="61"/>
      <c r="J582" s="61"/>
      <c r="K582" s="61"/>
    </row>
    <row r="583">
      <c r="C583" s="61"/>
      <c r="H583" s="61"/>
      <c r="I583" s="61"/>
      <c r="J583" s="61"/>
      <c r="K583" s="61"/>
    </row>
    <row r="584">
      <c r="C584" s="61"/>
      <c r="H584" s="61"/>
      <c r="I584" s="61"/>
      <c r="J584" s="61"/>
      <c r="K584" s="61"/>
    </row>
    <row r="585">
      <c r="C585" s="61"/>
      <c r="H585" s="61"/>
      <c r="I585" s="61"/>
      <c r="J585" s="61"/>
      <c r="K585" s="61"/>
    </row>
    <row r="586">
      <c r="C586" s="61"/>
      <c r="H586" s="61"/>
      <c r="I586" s="61"/>
      <c r="J586" s="61"/>
      <c r="K586" s="61"/>
    </row>
    <row r="587">
      <c r="C587" s="61"/>
      <c r="H587" s="61"/>
      <c r="I587" s="61"/>
      <c r="J587" s="61"/>
      <c r="K587" s="61"/>
    </row>
    <row r="588">
      <c r="C588" s="61"/>
      <c r="H588" s="61"/>
      <c r="I588" s="61"/>
      <c r="J588" s="61"/>
      <c r="K588" s="61"/>
    </row>
    <row r="589">
      <c r="C589" s="61"/>
      <c r="H589" s="61"/>
      <c r="I589" s="61"/>
      <c r="J589" s="61"/>
      <c r="K589" s="61"/>
    </row>
    <row r="590">
      <c r="C590" s="61"/>
      <c r="H590" s="61"/>
      <c r="I590" s="61"/>
      <c r="J590" s="61"/>
      <c r="K590" s="61"/>
    </row>
    <row r="591">
      <c r="C591" s="61"/>
      <c r="H591" s="61"/>
      <c r="I591" s="61"/>
      <c r="J591" s="61"/>
      <c r="K591" s="61"/>
    </row>
    <row r="592">
      <c r="C592" s="61"/>
      <c r="H592" s="61"/>
      <c r="I592" s="61"/>
      <c r="J592" s="61"/>
      <c r="K592" s="61"/>
    </row>
    <row r="593">
      <c r="C593" s="61"/>
      <c r="H593" s="61"/>
      <c r="I593" s="61"/>
      <c r="J593" s="61"/>
      <c r="K593" s="61"/>
    </row>
    <row r="594">
      <c r="C594" s="61"/>
      <c r="H594" s="61"/>
      <c r="I594" s="61"/>
      <c r="J594" s="61"/>
      <c r="K594" s="61"/>
    </row>
    <row r="595">
      <c r="C595" s="61"/>
      <c r="H595" s="61"/>
      <c r="I595" s="61"/>
      <c r="J595" s="61"/>
      <c r="K595" s="61"/>
    </row>
    <row r="596">
      <c r="C596" s="61"/>
      <c r="H596" s="61"/>
      <c r="I596" s="61"/>
      <c r="J596" s="61"/>
      <c r="K596" s="61"/>
    </row>
    <row r="597">
      <c r="C597" s="61"/>
      <c r="H597" s="61"/>
      <c r="I597" s="61"/>
      <c r="J597" s="61"/>
      <c r="K597" s="61"/>
    </row>
    <row r="598">
      <c r="C598" s="61"/>
      <c r="H598" s="61"/>
      <c r="I598" s="61"/>
      <c r="J598" s="61"/>
      <c r="K598" s="61"/>
    </row>
    <row r="599">
      <c r="C599" s="61"/>
      <c r="H599" s="61"/>
      <c r="I599" s="61"/>
      <c r="J599" s="61"/>
      <c r="K599" s="61"/>
    </row>
    <row r="600">
      <c r="C600" s="61"/>
      <c r="H600" s="61"/>
      <c r="I600" s="61"/>
      <c r="J600" s="61"/>
      <c r="K600" s="61"/>
    </row>
    <row r="601">
      <c r="C601" s="61"/>
      <c r="H601" s="61"/>
      <c r="I601" s="61"/>
      <c r="J601" s="61"/>
      <c r="K601" s="61"/>
    </row>
    <row r="602">
      <c r="C602" s="61"/>
      <c r="H602" s="61"/>
      <c r="I602" s="61"/>
      <c r="J602" s="61"/>
      <c r="K602" s="61"/>
    </row>
    <row r="603">
      <c r="C603" s="61"/>
      <c r="H603" s="61"/>
      <c r="I603" s="61"/>
      <c r="J603" s="61"/>
      <c r="K603" s="61"/>
    </row>
    <row r="604">
      <c r="C604" s="61"/>
      <c r="H604" s="61"/>
      <c r="I604" s="61"/>
      <c r="J604" s="61"/>
      <c r="K604" s="61"/>
    </row>
    <row r="605">
      <c r="C605" s="61"/>
      <c r="H605" s="61"/>
      <c r="I605" s="61"/>
      <c r="J605" s="61"/>
      <c r="K605" s="61"/>
    </row>
    <row r="606">
      <c r="C606" s="61"/>
      <c r="H606" s="61"/>
      <c r="I606" s="61"/>
      <c r="J606" s="61"/>
      <c r="K606" s="61"/>
    </row>
    <row r="607">
      <c r="C607" s="61"/>
      <c r="H607" s="61"/>
      <c r="I607" s="61"/>
      <c r="J607" s="61"/>
      <c r="K607" s="61"/>
    </row>
    <row r="608">
      <c r="C608" s="61"/>
      <c r="H608" s="61"/>
      <c r="I608" s="61"/>
      <c r="J608" s="61"/>
      <c r="K608" s="61"/>
    </row>
    <row r="609">
      <c r="C609" s="61"/>
      <c r="H609" s="61"/>
      <c r="I609" s="61"/>
      <c r="J609" s="61"/>
      <c r="K609" s="61"/>
    </row>
    <row r="610">
      <c r="C610" s="61"/>
      <c r="H610" s="61"/>
      <c r="I610" s="61"/>
      <c r="J610" s="61"/>
      <c r="K610" s="61"/>
    </row>
    <row r="611">
      <c r="C611" s="61"/>
      <c r="H611" s="61"/>
      <c r="I611" s="61"/>
      <c r="J611" s="61"/>
      <c r="K611" s="61"/>
    </row>
    <row r="612">
      <c r="C612" s="61"/>
      <c r="H612" s="61"/>
      <c r="I612" s="61"/>
      <c r="J612" s="61"/>
      <c r="K612" s="61"/>
    </row>
    <row r="613">
      <c r="C613" s="61"/>
      <c r="H613" s="61"/>
      <c r="I613" s="61"/>
      <c r="J613" s="61"/>
      <c r="K613" s="61"/>
    </row>
    <row r="614">
      <c r="C614" s="61"/>
      <c r="H614" s="61"/>
      <c r="I614" s="61"/>
      <c r="J614" s="61"/>
      <c r="K614" s="61"/>
    </row>
    <row r="615">
      <c r="C615" s="61"/>
      <c r="H615" s="61"/>
      <c r="I615" s="61"/>
      <c r="J615" s="61"/>
      <c r="K615" s="61"/>
    </row>
    <row r="616">
      <c r="C616" s="61"/>
      <c r="H616" s="61"/>
      <c r="I616" s="61"/>
      <c r="J616" s="61"/>
      <c r="K616" s="61"/>
    </row>
    <row r="617">
      <c r="C617" s="61"/>
      <c r="H617" s="61"/>
      <c r="I617" s="61"/>
      <c r="J617" s="61"/>
      <c r="K617" s="61"/>
    </row>
    <row r="618">
      <c r="C618" s="61"/>
      <c r="H618" s="61"/>
      <c r="I618" s="61"/>
      <c r="J618" s="61"/>
      <c r="K618" s="61"/>
    </row>
    <row r="619">
      <c r="C619" s="61"/>
      <c r="H619" s="61"/>
      <c r="I619" s="61"/>
      <c r="J619" s="61"/>
      <c r="K619" s="61"/>
    </row>
    <row r="620">
      <c r="C620" s="61"/>
      <c r="H620" s="61"/>
      <c r="I620" s="61"/>
      <c r="J620" s="61"/>
      <c r="K620" s="61"/>
    </row>
    <row r="621">
      <c r="C621" s="61"/>
      <c r="H621" s="61"/>
      <c r="I621" s="61"/>
      <c r="J621" s="61"/>
      <c r="K621" s="61"/>
    </row>
    <row r="622">
      <c r="C622" s="61"/>
      <c r="H622" s="61"/>
      <c r="I622" s="61"/>
      <c r="J622" s="61"/>
      <c r="K622" s="61"/>
    </row>
    <row r="623">
      <c r="C623" s="61"/>
      <c r="H623" s="61"/>
      <c r="I623" s="61"/>
      <c r="J623" s="61"/>
      <c r="K623" s="61"/>
    </row>
    <row r="624">
      <c r="C624" s="61"/>
      <c r="H624" s="61"/>
      <c r="I624" s="61"/>
      <c r="J624" s="61"/>
      <c r="K624" s="61"/>
    </row>
    <row r="625">
      <c r="C625" s="61"/>
      <c r="H625" s="61"/>
      <c r="I625" s="61"/>
      <c r="J625" s="61"/>
      <c r="K625" s="61"/>
    </row>
    <row r="626">
      <c r="C626" s="61"/>
      <c r="H626" s="61"/>
      <c r="I626" s="61"/>
      <c r="J626" s="61"/>
      <c r="K626" s="61"/>
    </row>
    <row r="627">
      <c r="C627" s="61"/>
      <c r="H627" s="61"/>
      <c r="I627" s="61"/>
      <c r="J627" s="61"/>
      <c r="K627" s="61"/>
    </row>
    <row r="628">
      <c r="C628" s="61"/>
      <c r="H628" s="61"/>
      <c r="I628" s="61"/>
      <c r="J628" s="61"/>
      <c r="K628" s="61"/>
    </row>
    <row r="629">
      <c r="C629" s="61"/>
      <c r="H629" s="61"/>
      <c r="I629" s="61"/>
      <c r="J629" s="61"/>
      <c r="K629" s="61"/>
    </row>
    <row r="630">
      <c r="C630" s="61"/>
      <c r="H630" s="61"/>
      <c r="I630" s="61"/>
      <c r="J630" s="61"/>
      <c r="K630" s="61"/>
    </row>
    <row r="631">
      <c r="C631" s="61"/>
      <c r="H631" s="61"/>
      <c r="I631" s="61"/>
      <c r="J631" s="61"/>
      <c r="K631" s="61"/>
    </row>
    <row r="632">
      <c r="C632" s="61"/>
      <c r="H632" s="61"/>
      <c r="I632" s="61"/>
      <c r="J632" s="61"/>
      <c r="K632" s="61"/>
    </row>
    <row r="633">
      <c r="C633" s="61"/>
      <c r="H633" s="61"/>
      <c r="I633" s="61"/>
      <c r="J633" s="61"/>
      <c r="K633" s="61"/>
    </row>
    <row r="634">
      <c r="C634" s="61"/>
      <c r="H634" s="61"/>
      <c r="I634" s="61"/>
      <c r="J634" s="61"/>
      <c r="K634" s="61"/>
    </row>
    <row r="635">
      <c r="C635" s="61"/>
      <c r="H635" s="61"/>
      <c r="I635" s="61"/>
      <c r="J635" s="61"/>
      <c r="K635" s="61"/>
    </row>
    <row r="636">
      <c r="C636" s="61"/>
      <c r="H636" s="61"/>
      <c r="I636" s="61"/>
      <c r="J636" s="61"/>
      <c r="K636" s="61"/>
    </row>
    <row r="637">
      <c r="C637" s="61"/>
      <c r="H637" s="61"/>
      <c r="I637" s="61"/>
      <c r="J637" s="61"/>
      <c r="K637" s="61"/>
    </row>
    <row r="638">
      <c r="C638" s="61"/>
      <c r="H638" s="61"/>
      <c r="I638" s="61"/>
      <c r="J638" s="61"/>
      <c r="K638" s="61"/>
    </row>
    <row r="639">
      <c r="C639" s="61"/>
      <c r="H639" s="61"/>
      <c r="I639" s="61"/>
      <c r="J639" s="61"/>
      <c r="K639" s="61"/>
    </row>
    <row r="640">
      <c r="C640" s="61"/>
      <c r="H640" s="61"/>
      <c r="I640" s="61"/>
      <c r="J640" s="61"/>
      <c r="K640" s="61"/>
    </row>
    <row r="641">
      <c r="C641" s="61"/>
      <c r="H641" s="61"/>
      <c r="I641" s="61"/>
      <c r="J641" s="61"/>
      <c r="K641" s="61"/>
    </row>
    <row r="642">
      <c r="C642" s="61"/>
      <c r="H642" s="61"/>
      <c r="I642" s="61"/>
      <c r="J642" s="61"/>
      <c r="K642" s="61"/>
    </row>
    <row r="643">
      <c r="C643" s="61"/>
      <c r="H643" s="61"/>
      <c r="I643" s="61"/>
      <c r="J643" s="61"/>
      <c r="K643" s="61"/>
    </row>
    <row r="644">
      <c r="C644" s="61"/>
      <c r="H644" s="61"/>
      <c r="I644" s="61"/>
      <c r="J644" s="61"/>
      <c r="K644" s="61"/>
    </row>
    <row r="645">
      <c r="C645" s="61"/>
      <c r="H645" s="61"/>
      <c r="I645" s="61"/>
      <c r="J645" s="61"/>
      <c r="K645" s="61"/>
    </row>
    <row r="646">
      <c r="C646" s="61"/>
      <c r="H646" s="61"/>
      <c r="I646" s="61"/>
      <c r="J646" s="61"/>
      <c r="K646" s="61"/>
    </row>
    <row r="647">
      <c r="C647" s="61"/>
      <c r="H647" s="61"/>
      <c r="I647" s="61"/>
      <c r="J647" s="61"/>
      <c r="K647" s="61"/>
    </row>
    <row r="648">
      <c r="C648" s="61"/>
      <c r="H648" s="61"/>
      <c r="I648" s="61"/>
      <c r="J648" s="61"/>
      <c r="K648" s="61"/>
    </row>
    <row r="649">
      <c r="C649" s="61"/>
      <c r="H649" s="61"/>
      <c r="I649" s="61"/>
      <c r="J649" s="61"/>
      <c r="K649" s="61"/>
    </row>
    <row r="650">
      <c r="C650" s="61"/>
      <c r="H650" s="61"/>
      <c r="I650" s="61"/>
      <c r="J650" s="61"/>
      <c r="K650" s="61"/>
    </row>
    <row r="651">
      <c r="C651" s="61"/>
      <c r="H651" s="61"/>
      <c r="I651" s="61"/>
      <c r="J651" s="61"/>
      <c r="K651" s="61"/>
    </row>
    <row r="652">
      <c r="C652" s="61"/>
      <c r="H652" s="61"/>
      <c r="I652" s="61"/>
      <c r="J652" s="61"/>
      <c r="K652" s="61"/>
    </row>
    <row r="653">
      <c r="C653" s="61"/>
      <c r="H653" s="61"/>
      <c r="I653" s="61"/>
      <c r="J653" s="61"/>
      <c r="K653" s="61"/>
    </row>
    <row r="654">
      <c r="C654" s="61"/>
      <c r="H654" s="61"/>
      <c r="I654" s="61"/>
      <c r="J654" s="61"/>
      <c r="K654" s="61"/>
    </row>
    <row r="655">
      <c r="C655" s="61"/>
      <c r="H655" s="61"/>
      <c r="I655" s="61"/>
      <c r="J655" s="61"/>
      <c r="K655" s="61"/>
    </row>
    <row r="656">
      <c r="C656" s="61"/>
      <c r="H656" s="61"/>
      <c r="I656" s="61"/>
      <c r="J656" s="61"/>
      <c r="K656" s="61"/>
    </row>
    <row r="657">
      <c r="C657" s="61"/>
      <c r="H657" s="61"/>
      <c r="I657" s="61"/>
      <c r="J657" s="61"/>
      <c r="K657" s="61"/>
    </row>
    <row r="658">
      <c r="C658" s="61"/>
      <c r="H658" s="61"/>
      <c r="I658" s="61"/>
      <c r="J658" s="61"/>
      <c r="K658" s="61"/>
    </row>
    <row r="659">
      <c r="C659" s="61"/>
      <c r="H659" s="61"/>
      <c r="I659" s="61"/>
      <c r="J659" s="61"/>
      <c r="K659" s="61"/>
    </row>
    <row r="660">
      <c r="C660" s="61"/>
      <c r="H660" s="61"/>
      <c r="I660" s="61"/>
      <c r="J660" s="61"/>
      <c r="K660" s="61"/>
    </row>
    <row r="661">
      <c r="C661" s="61"/>
      <c r="H661" s="61"/>
      <c r="I661" s="61"/>
      <c r="J661" s="61"/>
      <c r="K661" s="61"/>
    </row>
    <row r="662">
      <c r="C662" s="61"/>
      <c r="H662" s="61"/>
      <c r="I662" s="61"/>
      <c r="J662" s="61"/>
      <c r="K662" s="61"/>
    </row>
    <row r="663">
      <c r="C663" s="61"/>
      <c r="H663" s="61"/>
      <c r="I663" s="61"/>
      <c r="J663" s="61"/>
      <c r="K663" s="61"/>
    </row>
    <row r="664">
      <c r="C664" s="61"/>
      <c r="H664" s="61"/>
      <c r="I664" s="61"/>
      <c r="J664" s="61"/>
      <c r="K664" s="61"/>
    </row>
    <row r="665">
      <c r="C665" s="61"/>
      <c r="H665" s="61"/>
      <c r="I665" s="61"/>
      <c r="J665" s="61"/>
      <c r="K665" s="61"/>
    </row>
    <row r="666">
      <c r="C666" s="61"/>
      <c r="H666" s="61"/>
      <c r="I666" s="61"/>
      <c r="J666" s="61"/>
      <c r="K666" s="61"/>
    </row>
    <row r="667">
      <c r="C667" s="61"/>
      <c r="H667" s="61"/>
      <c r="I667" s="61"/>
      <c r="J667" s="61"/>
      <c r="K667" s="61"/>
    </row>
    <row r="668">
      <c r="C668" s="61"/>
      <c r="H668" s="61"/>
      <c r="I668" s="61"/>
      <c r="J668" s="61"/>
      <c r="K668" s="61"/>
    </row>
    <row r="669">
      <c r="C669" s="61"/>
      <c r="H669" s="61"/>
      <c r="I669" s="61"/>
      <c r="J669" s="61"/>
      <c r="K669" s="61"/>
    </row>
    <row r="670">
      <c r="C670" s="61"/>
      <c r="H670" s="61"/>
      <c r="I670" s="61"/>
      <c r="J670" s="61"/>
      <c r="K670" s="61"/>
    </row>
    <row r="671">
      <c r="C671" s="61"/>
      <c r="H671" s="61"/>
      <c r="I671" s="61"/>
      <c r="J671" s="61"/>
      <c r="K671" s="61"/>
    </row>
    <row r="672">
      <c r="C672" s="61"/>
      <c r="H672" s="61"/>
      <c r="I672" s="61"/>
      <c r="J672" s="61"/>
      <c r="K672" s="61"/>
    </row>
    <row r="673">
      <c r="C673" s="61"/>
      <c r="H673" s="61"/>
      <c r="I673" s="61"/>
      <c r="J673" s="61"/>
      <c r="K673" s="61"/>
    </row>
    <row r="674">
      <c r="C674" s="61"/>
      <c r="H674" s="61"/>
      <c r="I674" s="61"/>
      <c r="J674" s="61"/>
      <c r="K674" s="61"/>
    </row>
    <row r="675">
      <c r="C675" s="61"/>
      <c r="H675" s="61"/>
      <c r="I675" s="61"/>
      <c r="J675" s="61"/>
      <c r="K675" s="61"/>
    </row>
    <row r="676">
      <c r="C676" s="61"/>
      <c r="H676" s="61"/>
      <c r="I676" s="61"/>
      <c r="J676" s="61"/>
      <c r="K676" s="61"/>
    </row>
    <row r="677">
      <c r="C677" s="61"/>
      <c r="H677" s="61"/>
      <c r="I677" s="61"/>
      <c r="J677" s="61"/>
      <c r="K677" s="61"/>
    </row>
    <row r="678">
      <c r="C678" s="61"/>
      <c r="H678" s="61"/>
      <c r="I678" s="61"/>
      <c r="J678" s="61"/>
      <c r="K678" s="61"/>
    </row>
    <row r="679">
      <c r="C679" s="61"/>
      <c r="H679" s="61"/>
      <c r="I679" s="61"/>
      <c r="J679" s="61"/>
      <c r="K679" s="61"/>
    </row>
    <row r="680">
      <c r="C680" s="61"/>
      <c r="H680" s="61"/>
      <c r="I680" s="61"/>
      <c r="J680" s="61"/>
      <c r="K680" s="61"/>
    </row>
    <row r="681">
      <c r="C681" s="61"/>
      <c r="H681" s="61"/>
      <c r="I681" s="61"/>
      <c r="J681" s="61"/>
      <c r="K681" s="61"/>
    </row>
    <row r="682">
      <c r="C682" s="61"/>
      <c r="H682" s="61"/>
      <c r="I682" s="61"/>
      <c r="J682" s="61"/>
      <c r="K682" s="61"/>
    </row>
    <row r="683">
      <c r="C683" s="61"/>
      <c r="H683" s="61"/>
      <c r="I683" s="61"/>
      <c r="J683" s="61"/>
      <c r="K683" s="61"/>
    </row>
    <row r="684">
      <c r="C684" s="61"/>
      <c r="H684" s="61"/>
      <c r="I684" s="61"/>
      <c r="J684" s="61"/>
      <c r="K684" s="61"/>
    </row>
    <row r="685">
      <c r="C685" s="61"/>
      <c r="H685" s="61"/>
      <c r="I685" s="61"/>
      <c r="J685" s="61"/>
      <c r="K685" s="61"/>
    </row>
    <row r="686">
      <c r="C686" s="61"/>
      <c r="H686" s="61"/>
      <c r="I686" s="61"/>
      <c r="J686" s="61"/>
      <c r="K686" s="61"/>
    </row>
    <row r="687">
      <c r="C687" s="61"/>
      <c r="H687" s="61"/>
      <c r="I687" s="61"/>
      <c r="J687" s="61"/>
      <c r="K687" s="61"/>
    </row>
    <row r="688">
      <c r="C688" s="61"/>
      <c r="H688" s="61"/>
      <c r="I688" s="61"/>
      <c r="J688" s="61"/>
      <c r="K688" s="61"/>
    </row>
    <row r="689">
      <c r="C689" s="61"/>
      <c r="H689" s="61"/>
      <c r="I689" s="61"/>
      <c r="J689" s="61"/>
      <c r="K689" s="61"/>
    </row>
    <row r="690">
      <c r="C690" s="61"/>
      <c r="H690" s="61"/>
      <c r="I690" s="61"/>
      <c r="J690" s="61"/>
      <c r="K690" s="61"/>
    </row>
    <row r="691">
      <c r="C691" s="61"/>
      <c r="H691" s="61"/>
      <c r="I691" s="61"/>
      <c r="J691" s="61"/>
      <c r="K691" s="61"/>
    </row>
    <row r="692">
      <c r="C692" s="61"/>
      <c r="H692" s="61"/>
      <c r="I692" s="61"/>
      <c r="J692" s="61"/>
      <c r="K692" s="61"/>
    </row>
    <row r="693">
      <c r="C693" s="61"/>
      <c r="H693" s="61"/>
      <c r="I693" s="61"/>
      <c r="J693" s="61"/>
      <c r="K693" s="61"/>
    </row>
    <row r="694">
      <c r="C694" s="61"/>
      <c r="H694" s="61"/>
      <c r="I694" s="61"/>
      <c r="J694" s="61"/>
      <c r="K694" s="61"/>
    </row>
    <row r="695">
      <c r="C695" s="61"/>
      <c r="H695" s="61"/>
      <c r="I695" s="61"/>
      <c r="J695" s="61"/>
      <c r="K695" s="61"/>
    </row>
    <row r="696">
      <c r="C696" s="61"/>
      <c r="H696" s="61"/>
      <c r="I696" s="61"/>
      <c r="J696" s="61"/>
      <c r="K696" s="61"/>
    </row>
    <row r="697">
      <c r="C697" s="61"/>
      <c r="H697" s="61"/>
      <c r="I697" s="61"/>
      <c r="J697" s="61"/>
      <c r="K697" s="61"/>
    </row>
    <row r="698">
      <c r="C698" s="61"/>
      <c r="H698" s="61"/>
      <c r="I698" s="61"/>
      <c r="J698" s="61"/>
      <c r="K698" s="61"/>
    </row>
    <row r="699">
      <c r="C699" s="61"/>
      <c r="H699" s="61"/>
      <c r="I699" s="61"/>
      <c r="J699" s="61"/>
      <c r="K699" s="61"/>
    </row>
    <row r="700">
      <c r="C700" s="61"/>
      <c r="H700" s="61"/>
      <c r="I700" s="61"/>
      <c r="J700" s="61"/>
      <c r="K700" s="61"/>
    </row>
    <row r="701">
      <c r="C701" s="61"/>
      <c r="H701" s="61"/>
      <c r="I701" s="61"/>
      <c r="J701" s="61"/>
      <c r="K701" s="61"/>
    </row>
    <row r="702">
      <c r="C702" s="61"/>
      <c r="H702" s="61"/>
      <c r="I702" s="61"/>
      <c r="J702" s="61"/>
      <c r="K702" s="61"/>
    </row>
    <row r="703">
      <c r="C703" s="61"/>
      <c r="H703" s="61"/>
      <c r="I703" s="61"/>
      <c r="J703" s="61"/>
      <c r="K703" s="61"/>
    </row>
    <row r="704">
      <c r="C704" s="61"/>
      <c r="H704" s="61"/>
      <c r="I704" s="61"/>
      <c r="J704" s="61"/>
      <c r="K704" s="61"/>
    </row>
    <row r="705">
      <c r="C705" s="61"/>
      <c r="H705" s="61"/>
      <c r="I705" s="61"/>
      <c r="J705" s="61"/>
      <c r="K705" s="61"/>
    </row>
    <row r="706">
      <c r="C706" s="61"/>
      <c r="H706" s="61"/>
      <c r="I706" s="61"/>
      <c r="J706" s="61"/>
      <c r="K706" s="61"/>
    </row>
    <row r="707">
      <c r="C707" s="61"/>
      <c r="H707" s="61"/>
      <c r="I707" s="61"/>
      <c r="J707" s="61"/>
      <c r="K707" s="61"/>
    </row>
    <row r="708">
      <c r="C708" s="61"/>
      <c r="H708" s="61"/>
      <c r="I708" s="61"/>
      <c r="J708" s="61"/>
      <c r="K708" s="61"/>
    </row>
    <row r="709">
      <c r="C709" s="61"/>
      <c r="H709" s="61"/>
      <c r="I709" s="61"/>
      <c r="J709" s="61"/>
      <c r="K709" s="61"/>
    </row>
    <row r="710">
      <c r="C710" s="61"/>
      <c r="H710" s="61"/>
      <c r="I710" s="61"/>
      <c r="J710" s="61"/>
      <c r="K710" s="61"/>
    </row>
    <row r="711">
      <c r="C711" s="61"/>
      <c r="H711" s="61"/>
      <c r="I711" s="61"/>
      <c r="J711" s="61"/>
      <c r="K711" s="61"/>
    </row>
    <row r="712">
      <c r="C712" s="61"/>
      <c r="H712" s="61"/>
      <c r="I712" s="61"/>
      <c r="J712" s="61"/>
      <c r="K712" s="61"/>
    </row>
    <row r="713">
      <c r="C713" s="61"/>
      <c r="H713" s="61"/>
      <c r="I713" s="61"/>
      <c r="J713" s="61"/>
      <c r="K713" s="61"/>
    </row>
    <row r="714">
      <c r="C714" s="61"/>
      <c r="H714" s="61"/>
      <c r="I714" s="61"/>
      <c r="J714" s="61"/>
      <c r="K714" s="61"/>
    </row>
    <row r="715">
      <c r="C715" s="61"/>
      <c r="H715" s="61"/>
      <c r="I715" s="61"/>
      <c r="J715" s="61"/>
      <c r="K715" s="61"/>
    </row>
    <row r="716">
      <c r="C716" s="61"/>
      <c r="H716" s="61"/>
      <c r="I716" s="61"/>
      <c r="J716" s="61"/>
      <c r="K716" s="61"/>
    </row>
    <row r="717">
      <c r="C717" s="61"/>
      <c r="H717" s="61"/>
      <c r="I717" s="61"/>
      <c r="J717" s="61"/>
      <c r="K717" s="61"/>
    </row>
    <row r="718">
      <c r="C718" s="61"/>
      <c r="H718" s="61"/>
      <c r="I718" s="61"/>
      <c r="J718" s="61"/>
      <c r="K718" s="61"/>
    </row>
    <row r="719">
      <c r="C719" s="61"/>
      <c r="H719" s="61"/>
      <c r="I719" s="61"/>
      <c r="J719" s="61"/>
      <c r="K719" s="61"/>
    </row>
    <row r="720">
      <c r="C720" s="61"/>
      <c r="H720" s="61"/>
      <c r="I720" s="61"/>
      <c r="J720" s="61"/>
      <c r="K720" s="61"/>
    </row>
    <row r="721">
      <c r="C721" s="61"/>
      <c r="H721" s="61"/>
      <c r="I721" s="61"/>
      <c r="J721" s="61"/>
      <c r="K721" s="61"/>
    </row>
    <row r="722">
      <c r="C722" s="61"/>
      <c r="H722" s="61"/>
      <c r="I722" s="61"/>
      <c r="J722" s="61"/>
      <c r="K722" s="61"/>
    </row>
    <row r="723">
      <c r="C723" s="61"/>
      <c r="H723" s="61"/>
      <c r="I723" s="61"/>
      <c r="J723" s="61"/>
      <c r="K723" s="61"/>
    </row>
    <row r="724">
      <c r="C724" s="61"/>
      <c r="H724" s="61"/>
      <c r="I724" s="61"/>
      <c r="J724" s="61"/>
      <c r="K724" s="61"/>
    </row>
    <row r="725">
      <c r="C725" s="61"/>
      <c r="H725" s="61"/>
      <c r="I725" s="61"/>
      <c r="J725" s="61"/>
      <c r="K725" s="61"/>
    </row>
    <row r="726">
      <c r="C726" s="61"/>
      <c r="H726" s="61"/>
      <c r="I726" s="61"/>
      <c r="J726" s="61"/>
      <c r="K726" s="61"/>
    </row>
    <row r="727">
      <c r="C727" s="61"/>
      <c r="H727" s="61"/>
      <c r="I727" s="61"/>
      <c r="J727" s="61"/>
      <c r="K727" s="61"/>
    </row>
    <row r="728">
      <c r="C728" s="61"/>
      <c r="H728" s="61"/>
      <c r="I728" s="61"/>
      <c r="J728" s="61"/>
      <c r="K728" s="61"/>
    </row>
    <row r="729">
      <c r="C729" s="61"/>
      <c r="H729" s="61"/>
      <c r="I729" s="61"/>
      <c r="J729" s="61"/>
      <c r="K729" s="61"/>
    </row>
    <row r="730">
      <c r="C730" s="61"/>
      <c r="H730" s="61"/>
      <c r="I730" s="61"/>
      <c r="J730" s="61"/>
      <c r="K730" s="61"/>
    </row>
    <row r="731">
      <c r="C731" s="61"/>
      <c r="H731" s="61"/>
      <c r="I731" s="61"/>
      <c r="J731" s="61"/>
      <c r="K731" s="61"/>
    </row>
    <row r="732">
      <c r="C732" s="61"/>
      <c r="H732" s="61"/>
      <c r="I732" s="61"/>
      <c r="J732" s="61"/>
      <c r="K732" s="61"/>
    </row>
    <row r="733">
      <c r="C733" s="61"/>
      <c r="H733" s="61"/>
      <c r="I733" s="61"/>
      <c r="J733" s="61"/>
      <c r="K733" s="61"/>
    </row>
    <row r="734">
      <c r="C734" s="61"/>
      <c r="H734" s="61"/>
      <c r="I734" s="61"/>
      <c r="J734" s="61"/>
      <c r="K734" s="61"/>
    </row>
    <row r="735">
      <c r="C735" s="61"/>
      <c r="H735" s="61"/>
      <c r="I735" s="61"/>
      <c r="J735" s="61"/>
      <c r="K735" s="61"/>
    </row>
    <row r="736">
      <c r="C736" s="61"/>
      <c r="H736" s="61"/>
      <c r="I736" s="61"/>
      <c r="J736" s="61"/>
      <c r="K736" s="61"/>
    </row>
    <row r="737">
      <c r="C737" s="61"/>
      <c r="H737" s="61"/>
      <c r="I737" s="61"/>
      <c r="J737" s="61"/>
      <c r="K737" s="61"/>
    </row>
    <row r="738">
      <c r="C738" s="61"/>
      <c r="H738" s="61"/>
      <c r="I738" s="61"/>
      <c r="J738" s="61"/>
      <c r="K738" s="61"/>
    </row>
    <row r="739">
      <c r="C739" s="61"/>
      <c r="H739" s="61"/>
      <c r="I739" s="61"/>
      <c r="J739" s="61"/>
      <c r="K739" s="61"/>
    </row>
    <row r="740">
      <c r="C740" s="61"/>
      <c r="H740" s="61"/>
      <c r="I740" s="61"/>
      <c r="J740" s="61"/>
      <c r="K740" s="61"/>
    </row>
    <row r="741">
      <c r="C741" s="61"/>
      <c r="H741" s="61"/>
      <c r="I741" s="61"/>
      <c r="J741" s="61"/>
      <c r="K741" s="61"/>
    </row>
    <row r="742">
      <c r="C742" s="61"/>
      <c r="H742" s="61"/>
      <c r="I742" s="61"/>
      <c r="J742" s="61"/>
      <c r="K742" s="61"/>
    </row>
    <row r="743">
      <c r="C743" s="61"/>
      <c r="H743" s="61"/>
      <c r="I743" s="61"/>
      <c r="J743" s="61"/>
      <c r="K743" s="61"/>
    </row>
    <row r="744">
      <c r="C744" s="61"/>
      <c r="H744" s="61"/>
      <c r="I744" s="61"/>
      <c r="J744" s="61"/>
      <c r="K744" s="61"/>
    </row>
    <row r="745">
      <c r="C745" s="61"/>
      <c r="H745" s="61"/>
      <c r="I745" s="61"/>
      <c r="J745" s="61"/>
      <c r="K745" s="61"/>
    </row>
    <row r="746">
      <c r="C746" s="61"/>
      <c r="H746" s="61"/>
      <c r="I746" s="61"/>
      <c r="J746" s="61"/>
      <c r="K746" s="61"/>
    </row>
    <row r="747">
      <c r="C747" s="61"/>
      <c r="H747" s="61"/>
      <c r="I747" s="61"/>
      <c r="J747" s="61"/>
      <c r="K747" s="61"/>
    </row>
    <row r="748">
      <c r="C748" s="61"/>
      <c r="H748" s="61"/>
      <c r="I748" s="61"/>
      <c r="J748" s="61"/>
      <c r="K748" s="61"/>
    </row>
    <row r="749">
      <c r="C749" s="61"/>
      <c r="H749" s="61"/>
      <c r="I749" s="61"/>
      <c r="J749" s="61"/>
      <c r="K749" s="61"/>
    </row>
    <row r="750">
      <c r="C750" s="61"/>
      <c r="H750" s="61"/>
      <c r="I750" s="61"/>
      <c r="J750" s="61"/>
      <c r="K750" s="61"/>
    </row>
    <row r="751">
      <c r="C751" s="61"/>
      <c r="H751" s="61"/>
      <c r="I751" s="61"/>
      <c r="J751" s="61"/>
      <c r="K751" s="61"/>
    </row>
    <row r="752">
      <c r="C752" s="61"/>
      <c r="H752" s="61"/>
      <c r="I752" s="61"/>
      <c r="J752" s="61"/>
      <c r="K752" s="61"/>
    </row>
    <row r="753">
      <c r="C753" s="61"/>
      <c r="H753" s="61"/>
      <c r="I753" s="61"/>
      <c r="J753" s="61"/>
      <c r="K753" s="61"/>
    </row>
    <row r="754">
      <c r="C754" s="61"/>
      <c r="H754" s="61"/>
      <c r="I754" s="61"/>
      <c r="J754" s="61"/>
      <c r="K754" s="61"/>
    </row>
    <row r="755">
      <c r="C755" s="61"/>
      <c r="H755" s="61"/>
      <c r="I755" s="61"/>
      <c r="J755" s="61"/>
      <c r="K755" s="61"/>
    </row>
    <row r="756">
      <c r="C756" s="61"/>
      <c r="H756" s="61"/>
      <c r="I756" s="61"/>
      <c r="J756" s="61"/>
      <c r="K756" s="61"/>
    </row>
    <row r="757">
      <c r="C757" s="61"/>
      <c r="H757" s="61"/>
      <c r="I757" s="61"/>
      <c r="J757" s="61"/>
      <c r="K757" s="61"/>
    </row>
    <row r="758">
      <c r="C758" s="61"/>
      <c r="H758" s="61"/>
      <c r="I758" s="61"/>
      <c r="J758" s="61"/>
      <c r="K758" s="61"/>
    </row>
    <row r="759">
      <c r="C759" s="61"/>
      <c r="H759" s="61"/>
      <c r="I759" s="61"/>
      <c r="J759" s="61"/>
      <c r="K759" s="61"/>
    </row>
    <row r="760">
      <c r="C760" s="61"/>
      <c r="H760" s="61"/>
      <c r="I760" s="61"/>
      <c r="J760" s="61"/>
      <c r="K760" s="61"/>
    </row>
    <row r="761">
      <c r="C761" s="61"/>
      <c r="H761" s="61"/>
      <c r="I761" s="61"/>
      <c r="J761" s="61"/>
      <c r="K761" s="61"/>
    </row>
    <row r="762">
      <c r="C762" s="61"/>
      <c r="H762" s="61"/>
      <c r="I762" s="61"/>
      <c r="J762" s="61"/>
      <c r="K762" s="61"/>
    </row>
    <row r="763">
      <c r="C763" s="61"/>
      <c r="H763" s="61"/>
      <c r="I763" s="61"/>
      <c r="J763" s="61"/>
      <c r="K763" s="61"/>
    </row>
    <row r="764">
      <c r="C764" s="61"/>
      <c r="H764" s="61"/>
      <c r="I764" s="61"/>
      <c r="J764" s="61"/>
      <c r="K764" s="61"/>
    </row>
    <row r="765">
      <c r="C765" s="61"/>
      <c r="H765" s="61"/>
      <c r="I765" s="61"/>
      <c r="J765" s="61"/>
      <c r="K765" s="61"/>
    </row>
    <row r="766">
      <c r="C766" s="61"/>
      <c r="H766" s="61"/>
      <c r="I766" s="61"/>
      <c r="J766" s="61"/>
      <c r="K766" s="61"/>
    </row>
    <row r="767">
      <c r="C767" s="61"/>
      <c r="H767" s="61"/>
      <c r="I767" s="61"/>
      <c r="J767" s="61"/>
      <c r="K767" s="61"/>
    </row>
    <row r="768">
      <c r="C768" s="61"/>
      <c r="H768" s="61"/>
      <c r="I768" s="61"/>
      <c r="J768" s="61"/>
      <c r="K768" s="61"/>
    </row>
    <row r="769">
      <c r="C769" s="61"/>
      <c r="H769" s="61"/>
      <c r="I769" s="61"/>
      <c r="J769" s="61"/>
      <c r="K769" s="61"/>
    </row>
    <row r="770">
      <c r="C770" s="61"/>
      <c r="H770" s="61"/>
      <c r="I770" s="61"/>
      <c r="J770" s="61"/>
      <c r="K770" s="61"/>
    </row>
    <row r="771">
      <c r="C771" s="61"/>
      <c r="H771" s="61"/>
      <c r="I771" s="61"/>
      <c r="J771" s="61"/>
      <c r="K771" s="61"/>
    </row>
    <row r="772">
      <c r="C772" s="61"/>
      <c r="H772" s="61"/>
      <c r="I772" s="61"/>
      <c r="J772" s="61"/>
      <c r="K772" s="61"/>
    </row>
    <row r="773">
      <c r="C773" s="61"/>
      <c r="H773" s="61"/>
      <c r="I773" s="61"/>
      <c r="J773" s="61"/>
      <c r="K773" s="61"/>
    </row>
    <row r="774">
      <c r="C774" s="61"/>
      <c r="H774" s="61"/>
      <c r="I774" s="61"/>
      <c r="J774" s="61"/>
      <c r="K774" s="61"/>
    </row>
    <row r="775">
      <c r="C775" s="61"/>
      <c r="H775" s="61"/>
      <c r="I775" s="61"/>
      <c r="J775" s="61"/>
      <c r="K775" s="61"/>
    </row>
    <row r="776">
      <c r="C776" s="61"/>
      <c r="H776" s="61"/>
      <c r="I776" s="61"/>
      <c r="J776" s="61"/>
      <c r="K776" s="61"/>
    </row>
    <row r="777">
      <c r="C777" s="61"/>
      <c r="H777" s="61"/>
      <c r="I777" s="61"/>
      <c r="J777" s="61"/>
      <c r="K777" s="61"/>
    </row>
    <row r="778">
      <c r="C778" s="61"/>
      <c r="H778" s="61"/>
      <c r="I778" s="61"/>
      <c r="J778" s="61"/>
      <c r="K778" s="61"/>
    </row>
    <row r="779">
      <c r="C779" s="61"/>
      <c r="H779" s="61"/>
      <c r="I779" s="61"/>
      <c r="J779" s="61"/>
      <c r="K779" s="61"/>
    </row>
    <row r="780">
      <c r="C780" s="61"/>
      <c r="H780" s="61"/>
      <c r="I780" s="61"/>
      <c r="J780" s="61"/>
      <c r="K780" s="61"/>
    </row>
    <row r="781">
      <c r="C781" s="61"/>
      <c r="H781" s="61"/>
      <c r="I781" s="61"/>
      <c r="J781" s="61"/>
      <c r="K781" s="61"/>
    </row>
    <row r="782">
      <c r="C782" s="61"/>
      <c r="H782" s="61"/>
      <c r="I782" s="61"/>
      <c r="J782" s="61"/>
      <c r="K782" s="61"/>
    </row>
    <row r="783">
      <c r="C783" s="61"/>
      <c r="H783" s="61"/>
      <c r="I783" s="61"/>
      <c r="J783" s="61"/>
      <c r="K783" s="61"/>
    </row>
    <row r="784">
      <c r="C784" s="61"/>
      <c r="H784" s="61"/>
      <c r="I784" s="61"/>
      <c r="J784" s="61"/>
      <c r="K784" s="61"/>
    </row>
    <row r="785">
      <c r="C785" s="61"/>
      <c r="H785" s="61"/>
      <c r="I785" s="61"/>
      <c r="J785" s="61"/>
      <c r="K785" s="61"/>
    </row>
    <row r="786">
      <c r="C786" s="61"/>
      <c r="H786" s="61"/>
      <c r="I786" s="61"/>
      <c r="J786" s="61"/>
      <c r="K786" s="61"/>
    </row>
    <row r="787">
      <c r="C787" s="61"/>
      <c r="H787" s="61"/>
      <c r="I787" s="61"/>
      <c r="J787" s="61"/>
      <c r="K787" s="61"/>
    </row>
    <row r="788">
      <c r="C788" s="61"/>
      <c r="H788" s="61"/>
      <c r="I788" s="61"/>
      <c r="J788" s="61"/>
      <c r="K788" s="61"/>
    </row>
    <row r="789">
      <c r="C789" s="61"/>
      <c r="H789" s="61"/>
      <c r="I789" s="61"/>
      <c r="J789" s="61"/>
      <c r="K789" s="61"/>
    </row>
    <row r="790">
      <c r="C790" s="61"/>
      <c r="H790" s="61"/>
      <c r="I790" s="61"/>
      <c r="J790" s="61"/>
      <c r="K790" s="61"/>
    </row>
    <row r="791">
      <c r="C791" s="61"/>
      <c r="H791" s="61"/>
      <c r="I791" s="61"/>
      <c r="J791" s="61"/>
      <c r="K791" s="61"/>
    </row>
    <row r="792">
      <c r="C792" s="61"/>
      <c r="H792" s="61"/>
      <c r="I792" s="61"/>
      <c r="J792" s="61"/>
      <c r="K792" s="61"/>
    </row>
    <row r="793">
      <c r="C793" s="61"/>
      <c r="H793" s="61"/>
      <c r="I793" s="61"/>
      <c r="J793" s="61"/>
      <c r="K793" s="61"/>
    </row>
    <row r="794">
      <c r="C794" s="61"/>
      <c r="H794" s="61"/>
      <c r="I794" s="61"/>
      <c r="J794" s="61"/>
      <c r="K794" s="61"/>
    </row>
    <row r="795">
      <c r="C795" s="61"/>
      <c r="H795" s="61"/>
      <c r="I795" s="61"/>
      <c r="J795" s="61"/>
      <c r="K795" s="61"/>
    </row>
    <row r="796">
      <c r="C796" s="61"/>
      <c r="H796" s="61"/>
      <c r="I796" s="61"/>
      <c r="J796" s="61"/>
      <c r="K796" s="61"/>
    </row>
    <row r="797">
      <c r="C797" s="61"/>
      <c r="H797" s="61"/>
      <c r="I797" s="61"/>
      <c r="J797" s="61"/>
      <c r="K797" s="61"/>
    </row>
    <row r="798">
      <c r="C798" s="61"/>
      <c r="H798" s="61"/>
      <c r="I798" s="61"/>
      <c r="J798" s="61"/>
      <c r="K798" s="61"/>
    </row>
    <row r="799">
      <c r="C799" s="61"/>
      <c r="H799" s="61"/>
      <c r="I799" s="61"/>
      <c r="J799" s="61"/>
      <c r="K799" s="61"/>
    </row>
    <row r="800">
      <c r="C800" s="61"/>
      <c r="H800" s="61"/>
      <c r="I800" s="61"/>
      <c r="J800" s="61"/>
      <c r="K800" s="61"/>
    </row>
    <row r="801">
      <c r="C801" s="61"/>
      <c r="H801" s="61"/>
      <c r="I801" s="61"/>
      <c r="J801" s="61"/>
      <c r="K801" s="61"/>
    </row>
    <row r="802">
      <c r="C802" s="61"/>
      <c r="H802" s="61"/>
      <c r="I802" s="61"/>
      <c r="J802" s="61"/>
      <c r="K802" s="61"/>
    </row>
    <row r="803">
      <c r="C803" s="61"/>
      <c r="H803" s="61"/>
      <c r="I803" s="61"/>
      <c r="J803" s="61"/>
      <c r="K803" s="61"/>
    </row>
    <row r="804">
      <c r="C804" s="61"/>
      <c r="H804" s="61"/>
      <c r="I804" s="61"/>
      <c r="J804" s="61"/>
      <c r="K804" s="61"/>
    </row>
    <row r="805">
      <c r="C805" s="61"/>
      <c r="H805" s="61"/>
      <c r="I805" s="61"/>
      <c r="J805" s="61"/>
      <c r="K805" s="61"/>
    </row>
    <row r="806">
      <c r="C806" s="61"/>
      <c r="H806" s="61"/>
      <c r="I806" s="61"/>
      <c r="J806" s="61"/>
      <c r="K806" s="61"/>
    </row>
    <row r="807">
      <c r="C807" s="61"/>
      <c r="H807" s="61"/>
      <c r="I807" s="61"/>
      <c r="J807" s="61"/>
      <c r="K807" s="61"/>
    </row>
    <row r="808">
      <c r="C808" s="61"/>
      <c r="H808" s="61"/>
      <c r="I808" s="61"/>
      <c r="J808" s="61"/>
      <c r="K808" s="61"/>
    </row>
    <row r="809">
      <c r="C809" s="61"/>
      <c r="H809" s="61"/>
      <c r="I809" s="61"/>
      <c r="J809" s="61"/>
      <c r="K809" s="61"/>
    </row>
    <row r="810">
      <c r="C810" s="61"/>
      <c r="H810" s="61"/>
      <c r="I810" s="61"/>
      <c r="J810" s="61"/>
      <c r="K810" s="61"/>
    </row>
    <row r="811">
      <c r="C811" s="61"/>
      <c r="H811" s="61"/>
      <c r="I811" s="61"/>
      <c r="J811" s="61"/>
      <c r="K811" s="61"/>
    </row>
    <row r="812">
      <c r="C812" s="61"/>
      <c r="H812" s="61"/>
      <c r="I812" s="61"/>
      <c r="J812" s="61"/>
      <c r="K812" s="61"/>
    </row>
    <row r="813">
      <c r="C813" s="61"/>
      <c r="H813" s="61"/>
      <c r="I813" s="61"/>
      <c r="J813" s="61"/>
      <c r="K813" s="61"/>
    </row>
    <row r="814">
      <c r="C814" s="61"/>
      <c r="H814" s="61"/>
      <c r="I814" s="61"/>
      <c r="J814" s="61"/>
      <c r="K814" s="61"/>
    </row>
    <row r="815">
      <c r="C815" s="61"/>
      <c r="H815" s="61"/>
      <c r="I815" s="61"/>
      <c r="J815" s="61"/>
      <c r="K815" s="61"/>
    </row>
    <row r="816">
      <c r="C816" s="61"/>
      <c r="H816" s="61"/>
      <c r="I816" s="61"/>
      <c r="J816" s="61"/>
      <c r="K816" s="61"/>
    </row>
    <row r="817">
      <c r="C817" s="61"/>
      <c r="H817" s="61"/>
      <c r="I817" s="61"/>
      <c r="J817" s="61"/>
      <c r="K817" s="61"/>
    </row>
    <row r="818">
      <c r="C818" s="61"/>
      <c r="H818" s="61"/>
      <c r="I818" s="61"/>
      <c r="J818" s="61"/>
      <c r="K818" s="61"/>
    </row>
    <row r="819">
      <c r="C819" s="61"/>
      <c r="H819" s="61"/>
      <c r="I819" s="61"/>
      <c r="J819" s="61"/>
      <c r="K819" s="61"/>
    </row>
    <row r="820">
      <c r="C820" s="61"/>
      <c r="H820" s="61"/>
      <c r="I820" s="61"/>
      <c r="J820" s="61"/>
      <c r="K820" s="61"/>
    </row>
    <row r="821">
      <c r="C821" s="61"/>
      <c r="H821" s="61"/>
      <c r="I821" s="61"/>
      <c r="J821" s="61"/>
      <c r="K821" s="61"/>
    </row>
    <row r="822">
      <c r="C822" s="61"/>
      <c r="H822" s="61"/>
      <c r="I822" s="61"/>
      <c r="J822" s="61"/>
      <c r="K822" s="61"/>
    </row>
    <row r="823">
      <c r="C823" s="61"/>
      <c r="H823" s="61"/>
      <c r="I823" s="61"/>
      <c r="J823" s="61"/>
      <c r="K823" s="61"/>
    </row>
    <row r="824">
      <c r="C824" s="61"/>
      <c r="H824" s="61"/>
      <c r="I824" s="61"/>
      <c r="J824" s="61"/>
      <c r="K824" s="61"/>
    </row>
    <row r="825">
      <c r="C825" s="61"/>
      <c r="H825" s="61"/>
      <c r="I825" s="61"/>
      <c r="J825" s="61"/>
      <c r="K825" s="61"/>
    </row>
    <row r="826">
      <c r="C826" s="61"/>
      <c r="H826" s="61"/>
      <c r="I826" s="61"/>
      <c r="J826" s="61"/>
      <c r="K826" s="61"/>
    </row>
    <row r="827">
      <c r="C827" s="61"/>
      <c r="H827" s="61"/>
      <c r="I827" s="61"/>
      <c r="J827" s="61"/>
      <c r="K827" s="61"/>
    </row>
    <row r="828">
      <c r="C828" s="61"/>
      <c r="H828" s="61"/>
      <c r="I828" s="61"/>
      <c r="J828" s="61"/>
      <c r="K828" s="61"/>
    </row>
    <row r="829">
      <c r="C829" s="61"/>
      <c r="H829" s="61"/>
      <c r="I829" s="61"/>
      <c r="J829" s="61"/>
      <c r="K829" s="61"/>
    </row>
    <row r="830">
      <c r="C830" s="61"/>
      <c r="H830" s="61"/>
      <c r="I830" s="61"/>
      <c r="J830" s="61"/>
      <c r="K830" s="61"/>
    </row>
    <row r="831">
      <c r="C831" s="61"/>
      <c r="H831" s="61"/>
      <c r="I831" s="61"/>
      <c r="J831" s="61"/>
      <c r="K831" s="61"/>
    </row>
    <row r="832">
      <c r="C832" s="61"/>
      <c r="H832" s="61"/>
      <c r="I832" s="61"/>
      <c r="J832" s="61"/>
      <c r="K832" s="61"/>
    </row>
    <row r="833">
      <c r="C833" s="61"/>
      <c r="H833" s="61"/>
      <c r="I833" s="61"/>
      <c r="J833" s="61"/>
      <c r="K833" s="61"/>
    </row>
    <row r="834">
      <c r="C834" s="61"/>
      <c r="H834" s="61"/>
      <c r="I834" s="61"/>
      <c r="J834" s="61"/>
      <c r="K834" s="61"/>
    </row>
    <row r="835">
      <c r="C835" s="61"/>
      <c r="H835" s="61"/>
      <c r="I835" s="61"/>
      <c r="J835" s="61"/>
      <c r="K835" s="61"/>
    </row>
    <row r="836">
      <c r="C836" s="61"/>
      <c r="H836" s="61"/>
      <c r="I836" s="61"/>
      <c r="J836" s="61"/>
      <c r="K836" s="61"/>
    </row>
    <row r="837">
      <c r="C837" s="61"/>
      <c r="H837" s="61"/>
      <c r="I837" s="61"/>
      <c r="J837" s="61"/>
      <c r="K837" s="61"/>
    </row>
    <row r="838">
      <c r="C838" s="61"/>
      <c r="H838" s="61"/>
      <c r="I838" s="61"/>
      <c r="J838" s="61"/>
      <c r="K838" s="61"/>
    </row>
    <row r="839">
      <c r="C839" s="61"/>
      <c r="H839" s="61"/>
      <c r="I839" s="61"/>
      <c r="J839" s="61"/>
      <c r="K839" s="61"/>
    </row>
    <row r="840">
      <c r="C840" s="61"/>
      <c r="H840" s="61"/>
      <c r="I840" s="61"/>
      <c r="J840" s="61"/>
      <c r="K840" s="61"/>
    </row>
    <row r="841">
      <c r="C841" s="61"/>
      <c r="H841" s="61"/>
      <c r="I841" s="61"/>
      <c r="J841" s="61"/>
      <c r="K841" s="61"/>
    </row>
    <row r="842">
      <c r="C842" s="61"/>
      <c r="H842" s="61"/>
      <c r="I842" s="61"/>
      <c r="J842" s="61"/>
      <c r="K842" s="61"/>
    </row>
    <row r="843">
      <c r="C843" s="61"/>
      <c r="H843" s="61"/>
      <c r="I843" s="61"/>
      <c r="J843" s="61"/>
      <c r="K843" s="61"/>
    </row>
    <row r="844">
      <c r="C844" s="61"/>
      <c r="H844" s="61"/>
      <c r="I844" s="61"/>
      <c r="J844" s="61"/>
      <c r="K844" s="61"/>
    </row>
    <row r="845">
      <c r="C845" s="61"/>
      <c r="H845" s="61"/>
      <c r="I845" s="61"/>
      <c r="J845" s="61"/>
      <c r="K845" s="61"/>
    </row>
    <row r="846">
      <c r="C846" s="61"/>
      <c r="H846" s="61"/>
      <c r="I846" s="61"/>
      <c r="J846" s="61"/>
      <c r="K846" s="61"/>
    </row>
    <row r="847">
      <c r="C847" s="61"/>
      <c r="H847" s="61"/>
      <c r="I847" s="61"/>
      <c r="J847" s="61"/>
      <c r="K847" s="61"/>
    </row>
    <row r="848">
      <c r="C848" s="61"/>
      <c r="H848" s="61"/>
      <c r="I848" s="61"/>
      <c r="J848" s="61"/>
      <c r="K848" s="61"/>
    </row>
    <row r="849">
      <c r="C849" s="61"/>
      <c r="H849" s="61"/>
      <c r="I849" s="61"/>
      <c r="J849" s="61"/>
      <c r="K849" s="61"/>
    </row>
    <row r="850">
      <c r="C850" s="61"/>
      <c r="H850" s="61"/>
      <c r="I850" s="61"/>
      <c r="J850" s="61"/>
      <c r="K850" s="61"/>
    </row>
    <row r="851">
      <c r="C851" s="61"/>
      <c r="H851" s="61"/>
      <c r="I851" s="61"/>
      <c r="J851" s="61"/>
      <c r="K851" s="61"/>
    </row>
    <row r="852">
      <c r="C852" s="61"/>
      <c r="H852" s="61"/>
      <c r="I852" s="61"/>
      <c r="J852" s="61"/>
      <c r="K852" s="61"/>
    </row>
    <row r="853">
      <c r="C853" s="61"/>
      <c r="H853" s="61"/>
      <c r="I853" s="61"/>
      <c r="J853" s="61"/>
      <c r="K853" s="61"/>
    </row>
    <row r="854">
      <c r="C854" s="61"/>
      <c r="H854" s="61"/>
      <c r="I854" s="61"/>
      <c r="J854" s="61"/>
      <c r="K854" s="61"/>
    </row>
    <row r="855">
      <c r="C855" s="61"/>
      <c r="H855" s="61"/>
      <c r="I855" s="61"/>
      <c r="J855" s="61"/>
      <c r="K855" s="61"/>
    </row>
    <row r="856">
      <c r="C856" s="61"/>
      <c r="H856" s="61"/>
      <c r="I856" s="61"/>
      <c r="J856" s="61"/>
      <c r="K856" s="61"/>
    </row>
    <row r="857">
      <c r="C857" s="61"/>
      <c r="H857" s="61"/>
      <c r="I857" s="61"/>
      <c r="J857" s="61"/>
      <c r="K857" s="61"/>
    </row>
    <row r="858">
      <c r="C858" s="61"/>
      <c r="H858" s="61"/>
      <c r="I858" s="61"/>
      <c r="J858" s="61"/>
      <c r="K858" s="61"/>
    </row>
    <row r="859">
      <c r="C859" s="61"/>
      <c r="H859" s="61"/>
      <c r="I859" s="61"/>
      <c r="J859" s="61"/>
      <c r="K859" s="61"/>
    </row>
    <row r="860">
      <c r="C860" s="61"/>
      <c r="H860" s="61"/>
      <c r="I860" s="61"/>
      <c r="J860" s="61"/>
      <c r="K860" s="61"/>
    </row>
    <row r="861">
      <c r="C861" s="61"/>
      <c r="H861" s="61"/>
      <c r="I861" s="61"/>
      <c r="J861" s="61"/>
      <c r="K861" s="61"/>
    </row>
    <row r="862">
      <c r="C862" s="61"/>
      <c r="H862" s="61"/>
      <c r="I862" s="61"/>
      <c r="J862" s="61"/>
      <c r="K862" s="61"/>
    </row>
    <row r="863">
      <c r="C863" s="61"/>
      <c r="H863" s="61"/>
      <c r="I863" s="61"/>
      <c r="J863" s="61"/>
      <c r="K863" s="61"/>
    </row>
    <row r="864">
      <c r="C864" s="61"/>
      <c r="H864" s="61"/>
      <c r="I864" s="61"/>
      <c r="J864" s="61"/>
      <c r="K864" s="61"/>
    </row>
    <row r="865">
      <c r="C865" s="61"/>
      <c r="H865" s="61"/>
      <c r="I865" s="61"/>
      <c r="J865" s="61"/>
      <c r="K865" s="61"/>
    </row>
    <row r="866">
      <c r="C866" s="61"/>
      <c r="H866" s="61"/>
      <c r="I866" s="61"/>
      <c r="J866" s="61"/>
      <c r="K866" s="61"/>
    </row>
    <row r="867">
      <c r="C867" s="61"/>
      <c r="H867" s="61"/>
      <c r="I867" s="61"/>
      <c r="J867" s="61"/>
      <c r="K867" s="61"/>
    </row>
    <row r="868">
      <c r="C868" s="61"/>
      <c r="H868" s="61"/>
      <c r="I868" s="61"/>
      <c r="J868" s="61"/>
      <c r="K868" s="61"/>
    </row>
    <row r="869">
      <c r="C869" s="61"/>
      <c r="H869" s="61"/>
      <c r="I869" s="61"/>
      <c r="J869" s="61"/>
      <c r="K869" s="61"/>
    </row>
    <row r="870">
      <c r="C870" s="61"/>
      <c r="H870" s="61"/>
      <c r="I870" s="61"/>
      <c r="J870" s="61"/>
      <c r="K870" s="61"/>
    </row>
    <row r="871">
      <c r="C871" s="61"/>
      <c r="H871" s="61"/>
      <c r="I871" s="61"/>
      <c r="J871" s="61"/>
      <c r="K871" s="61"/>
    </row>
    <row r="872">
      <c r="C872" s="61"/>
      <c r="H872" s="61"/>
      <c r="I872" s="61"/>
      <c r="J872" s="61"/>
      <c r="K872" s="61"/>
    </row>
    <row r="873">
      <c r="C873" s="61"/>
      <c r="H873" s="61"/>
      <c r="I873" s="61"/>
      <c r="J873" s="61"/>
      <c r="K873" s="61"/>
    </row>
    <row r="874">
      <c r="C874" s="61"/>
      <c r="H874" s="61"/>
      <c r="I874" s="61"/>
      <c r="J874" s="61"/>
      <c r="K874" s="61"/>
    </row>
    <row r="875">
      <c r="C875" s="61"/>
      <c r="H875" s="61"/>
      <c r="I875" s="61"/>
      <c r="J875" s="61"/>
      <c r="K875" s="61"/>
    </row>
    <row r="876">
      <c r="C876" s="61"/>
      <c r="H876" s="61"/>
      <c r="I876" s="61"/>
      <c r="J876" s="61"/>
      <c r="K876" s="61"/>
    </row>
    <row r="877">
      <c r="C877" s="61"/>
      <c r="H877" s="61"/>
      <c r="I877" s="61"/>
      <c r="J877" s="61"/>
      <c r="K877" s="61"/>
    </row>
    <row r="878">
      <c r="C878" s="61"/>
      <c r="H878" s="61"/>
      <c r="I878" s="61"/>
      <c r="J878" s="61"/>
      <c r="K878" s="61"/>
    </row>
    <row r="879">
      <c r="C879" s="61"/>
      <c r="H879" s="61"/>
      <c r="I879" s="61"/>
      <c r="J879" s="61"/>
      <c r="K879" s="61"/>
    </row>
    <row r="880">
      <c r="C880" s="61"/>
      <c r="H880" s="61"/>
      <c r="I880" s="61"/>
      <c r="J880" s="61"/>
      <c r="K880" s="61"/>
    </row>
    <row r="881">
      <c r="C881" s="61"/>
      <c r="H881" s="61"/>
      <c r="I881" s="61"/>
      <c r="J881" s="61"/>
      <c r="K881" s="61"/>
    </row>
    <row r="882">
      <c r="C882" s="61"/>
      <c r="H882" s="61"/>
      <c r="I882" s="61"/>
      <c r="J882" s="61"/>
      <c r="K882" s="61"/>
    </row>
    <row r="883">
      <c r="C883" s="61"/>
      <c r="H883" s="61"/>
      <c r="I883" s="61"/>
      <c r="J883" s="61"/>
      <c r="K883" s="61"/>
    </row>
    <row r="884">
      <c r="C884" s="61"/>
      <c r="H884" s="61"/>
      <c r="I884" s="61"/>
      <c r="J884" s="61"/>
      <c r="K884" s="61"/>
    </row>
    <row r="885">
      <c r="C885" s="61"/>
      <c r="H885" s="61"/>
      <c r="I885" s="61"/>
      <c r="J885" s="61"/>
      <c r="K885" s="61"/>
    </row>
    <row r="886">
      <c r="C886" s="61"/>
      <c r="H886" s="61"/>
      <c r="I886" s="61"/>
      <c r="J886" s="61"/>
      <c r="K886" s="61"/>
    </row>
    <row r="887">
      <c r="C887" s="61"/>
      <c r="H887" s="61"/>
      <c r="I887" s="61"/>
      <c r="J887" s="61"/>
      <c r="K887" s="61"/>
    </row>
    <row r="888">
      <c r="C888" s="61"/>
      <c r="H888" s="61"/>
      <c r="I888" s="61"/>
      <c r="J888" s="61"/>
      <c r="K888" s="61"/>
    </row>
    <row r="889">
      <c r="C889" s="61"/>
      <c r="H889" s="61"/>
      <c r="I889" s="61"/>
      <c r="J889" s="61"/>
      <c r="K889" s="61"/>
    </row>
    <row r="890">
      <c r="C890" s="61"/>
      <c r="H890" s="61"/>
      <c r="I890" s="61"/>
      <c r="J890" s="61"/>
      <c r="K890" s="61"/>
    </row>
    <row r="891">
      <c r="C891" s="61"/>
      <c r="H891" s="61"/>
      <c r="I891" s="61"/>
      <c r="J891" s="61"/>
      <c r="K891" s="61"/>
    </row>
    <row r="892">
      <c r="C892" s="61"/>
      <c r="H892" s="61"/>
      <c r="I892" s="61"/>
      <c r="J892" s="61"/>
      <c r="K892" s="61"/>
    </row>
    <row r="893">
      <c r="C893" s="61"/>
      <c r="H893" s="61"/>
      <c r="I893" s="61"/>
      <c r="J893" s="61"/>
      <c r="K893" s="61"/>
    </row>
    <row r="894">
      <c r="C894" s="61"/>
      <c r="H894" s="61"/>
      <c r="I894" s="61"/>
      <c r="J894" s="61"/>
      <c r="K894" s="61"/>
    </row>
    <row r="895">
      <c r="C895" s="61"/>
      <c r="H895" s="61"/>
      <c r="I895" s="61"/>
      <c r="J895" s="61"/>
      <c r="K895" s="61"/>
    </row>
    <row r="896">
      <c r="C896" s="61"/>
      <c r="H896" s="61"/>
      <c r="I896" s="61"/>
      <c r="J896" s="61"/>
      <c r="K896" s="61"/>
    </row>
    <row r="897">
      <c r="C897" s="61"/>
      <c r="H897" s="61"/>
      <c r="I897" s="61"/>
      <c r="J897" s="61"/>
      <c r="K897" s="61"/>
    </row>
    <row r="898">
      <c r="C898" s="61"/>
      <c r="H898" s="61"/>
      <c r="I898" s="61"/>
      <c r="J898" s="61"/>
      <c r="K898" s="61"/>
    </row>
    <row r="899">
      <c r="C899" s="61"/>
      <c r="H899" s="61"/>
      <c r="I899" s="61"/>
      <c r="J899" s="61"/>
      <c r="K899" s="61"/>
    </row>
    <row r="900">
      <c r="C900" s="61"/>
      <c r="H900" s="61"/>
      <c r="I900" s="61"/>
      <c r="J900" s="61"/>
      <c r="K900" s="61"/>
    </row>
    <row r="901">
      <c r="C901" s="61"/>
      <c r="H901" s="61"/>
      <c r="I901" s="61"/>
      <c r="J901" s="61"/>
      <c r="K901" s="61"/>
    </row>
    <row r="902">
      <c r="C902" s="61"/>
      <c r="H902" s="61"/>
      <c r="I902" s="61"/>
      <c r="J902" s="61"/>
      <c r="K902" s="61"/>
    </row>
    <row r="903">
      <c r="C903" s="61"/>
      <c r="H903" s="61"/>
      <c r="I903" s="61"/>
      <c r="J903" s="61"/>
      <c r="K903" s="61"/>
    </row>
    <row r="904">
      <c r="C904" s="61"/>
      <c r="H904" s="61"/>
      <c r="I904" s="61"/>
      <c r="J904" s="61"/>
      <c r="K904" s="61"/>
    </row>
    <row r="905">
      <c r="C905" s="61"/>
      <c r="H905" s="61"/>
      <c r="I905" s="61"/>
      <c r="J905" s="61"/>
      <c r="K905" s="61"/>
    </row>
    <row r="906">
      <c r="C906" s="61"/>
      <c r="H906" s="61"/>
      <c r="I906" s="61"/>
      <c r="J906" s="61"/>
      <c r="K906" s="61"/>
    </row>
    <row r="907">
      <c r="C907" s="61"/>
      <c r="H907" s="61"/>
      <c r="I907" s="61"/>
      <c r="J907" s="61"/>
      <c r="K907" s="61"/>
    </row>
    <row r="908">
      <c r="C908" s="61"/>
      <c r="H908" s="61"/>
      <c r="I908" s="61"/>
      <c r="J908" s="61"/>
      <c r="K908" s="61"/>
    </row>
    <row r="909">
      <c r="C909" s="61"/>
      <c r="H909" s="61"/>
      <c r="I909" s="61"/>
      <c r="J909" s="61"/>
      <c r="K909" s="61"/>
    </row>
    <row r="910">
      <c r="C910" s="61"/>
      <c r="H910" s="61"/>
      <c r="I910" s="61"/>
      <c r="J910" s="61"/>
      <c r="K910" s="61"/>
    </row>
    <row r="911">
      <c r="C911" s="61"/>
      <c r="H911" s="61"/>
      <c r="I911" s="61"/>
      <c r="J911" s="61"/>
      <c r="K911" s="61"/>
    </row>
    <row r="912">
      <c r="C912" s="61"/>
      <c r="H912" s="61"/>
      <c r="I912" s="61"/>
      <c r="J912" s="61"/>
      <c r="K912" s="61"/>
    </row>
    <row r="913">
      <c r="C913" s="61"/>
      <c r="H913" s="61"/>
      <c r="I913" s="61"/>
      <c r="J913" s="61"/>
      <c r="K913" s="61"/>
    </row>
    <row r="914">
      <c r="C914" s="61"/>
      <c r="H914" s="61"/>
      <c r="I914" s="61"/>
      <c r="J914" s="61"/>
      <c r="K914" s="61"/>
    </row>
    <row r="915">
      <c r="C915" s="61"/>
      <c r="H915" s="61"/>
      <c r="I915" s="61"/>
      <c r="J915" s="61"/>
      <c r="K915" s="61"/>
    </row>
    <row r="916">
      <c r="C916" s="61"/>
      <c r="H916" s="61"/>
      <c r="I916" s="61"/>
      <c r="J916" s="61"/>
      <c r="K916" s="61"/>
    </row>
    <row r="917">
      <c r="C917" s="61"/>
      <c r="H917" s="61"/>
      <c r="I917" s="61"/>
      <c r="J917" s="61"/>
      <c r="K917" s="61"/>
    </row>
    <row r="918">
      <c r="C918" s="61"/>
      <c r="H918" s="61"/>
      <c r="I918" s="61"/>
      <c r="J918" s="61"/>
      <c r="K918" s="61"/>
    </row>
    <row r="919">
      <c r="C919" s="61"/>
      <c r="H919" s="61"/>
      <c r="I919" s="61"/>
      <c r="J919" s="61"/>
      <c r="K919" s="61"/>
    </row>
    <row r="920">
      <c r="C920" s="61"/>
      <c r="H920" s="61"/>
      <c r="I920" s="61"/>
      <c r="J920" s="61"/>
      <c r="K920" s="61"/>
    </row>
    <row r="921">
      <c r="C921" s="61"/>
      <c r="H921" s="61"/>
      <c r="I921" s="61"/>
      <c r="J921" s="61"/>
      <c r="K921" s="61"/>
    </row>
    <row r="922">
      <c r="C922" s="61"/>
      <c r="H922" s="61"/>
      <c r="I922" s="61"/>
      <c r="J922" s="61"/>
      <c r="K922" s="61"/>
    </row>
    <row r="923">
      <c r="C923" s="61"/>
      <c r="H923" s="61"/>
      <c r="I923" s="61"/>
      <c r="J923" s="61"/>
      <c r="K923" s="61"/>
    </row>
    <row r="924">
      <c r="C924" s="61"/>
      <c r="H924" s="61"/>
      <c r="I924" s="61"/>
      <c r="J924" s="61"/>
      <c r="K924" s="61"/>
    </row>
    <row r="925">
      <c r="C925" s="61"/>
      <c r="H925" s="61"/>
      <c r="I925" s="61"/>
      <c r="J925" s="61"/>
      <c r="K925" s="61"/>
    </row>
    <row r="926">
      <c r="C926" s="61"/>
      <c r="H926" s="61"/>
      <c r="I926" s="61"/>
      <c r="J926" s="61"/>
      <c r="K926" s="61"/>
    </row>
    <row r="927">
      <c r="C927" s="61"/>
      <c r="H927" s="61"/>
      <c r="I927" s="61"/>
      <c r="J927" s="61"/>
      <c r="K927" s="61"/>
    </row>
    <row r="928">
      <c r="C928" s="61"/>
      <c r="H928" s="61"/>
      <c r="I928" s="61"/>
      <c r="J928" s="61"/>
      <c r="K928" s="61"/>
    </row>
    <row r="929">
      <c r="C929" s="61"/>
      <c r="H929" s="61"/>
      <c r="I929" s="61"/>
      <c r="J929" s="61"/>
      <c r="K929" s="61"/>
    </row>
    <row r="930">
      <c r="C930" s="61"/>
      <c r="H930" s="61"/>
      <c r="I930" s="61"/>
      <c r="J930" s="61"/>
      <c r="K930" s="61"/>
    </row>
    <row r="931">
      <c r="C931" s="61"/>
      <c r="H931" s="61"/>
      <c r="I931" s="61"/>
      <c r="J931" s="61"/>
      <c r="K931" s="61"/>
    </row>
    <row r="932">
      <c r="C932" s="61"/>
      <c r="H932" s="61"/>
      <c r="I932" s="61"/>
      <c r="J932" s="61"/>
      <c r="K932" s="61"/>
    </row>
    <row r="933">
      <c r="C933" s="61"/>
      <c r="H933" s="61"/>
      <c r="I933" s="61"/>
      <c r="J933" s="61"/>
      <c r="K933" s="61"/>
    </row>
    <row r="934">
      <c r="C934" s="61"/>
      <c r="H934" s="61"/>
      <c r="I934" s="61"/>
      <c r="J934" s="61"/>
      <c r="K934" s="61"/>
    </row>
    <row r="935">
      <c r="C935" s="61"/>
      <c r="H935" s="61"/>
      <c r="I935" s="61"/>
      <c r="J935" s="61"/>
      <c r="K935" s="61"/>
    </row>
    <row r="936">
      <c r="C936" s="61"/>
      <c r="H936" s="61"/>
      <c r="I936" s="61"/>
      <c r="J936" s="61"/>
      <c r="K936" s="61"/>
    </row>
    <row r="937">
      <c r="C937" s="61"/>
      <c r="H937" s="61"/>
      <c r="I937" s="61"/>
      <c r="J937" s="61"/>
      <c r="K937" s="61"/>
    </row>
    <row r="938">
      <c r="C938" s="61"/>
      <c r="H938" s="61"/>
      <c r="I938" s="61"/>
      <c r="J938" s="61"/>
      <c r="K938" s="61"/>
    </row>
    <row r="939">
      <c r="C939" s="61"/>
      <c r="H939" s="61"/>
      <c r="I939" s="61"/>
      <c r="J939" s="61"/>
      <c r="K939" s="61"/>
    </row>
    <row r="940">
      <c r="C940" s="61"/>
      <c r="H940" s="61"/>
      <c r="I940" s="61"/>
      <c r="J940" s="61"/>
      <c r="K940" s="61"/>
    </row>
    <row r="941">
      <c r="C941" s="61"/>
      <c r="H941" s="61"/>
      <c r="I941" s="61"/>
      <c r="J941" s="61"/>
      <c r="K941" s="61"/>
    </row>
    <row r="942">
      <c r="C942" s="61"/>
      <c r="H942" s="61"/>
      <c r="I942" s="61"/>
      <c r="J942" s="61"/>
      <c r="K942" s="61"/>
    </row>
    <row r="943">
      <c r="C943" s="61"/>
      <c r="H943" s="61"/>
      <c r="I943" s="61"/>
      <c r="J943" s="61"/>
      <c r="K943" s="61"/>
    </row>
    <row r="944">
      <c r="C944" s="61"/>
      <c r="H944" s="61"/>
      <c r="I944" s="61"/>
      <c r="J944" s="61"/>
      <c r="K944" s="61"/>
    </row>
    <row r="945">
      <c r="C945" s="61"/>
      <c r="H945" s="61"/>
      <c r="I945" s="61"/>
      <c r="J945" s="61"/>
      <c r="K945" s="61"/>
    </row>
    <row r="946">
      <c r="C946" s="61"/>
      <c r="H946" s="61"/>
      <c r="I946" s="61"/>
      <c r="J946" s="61"/>
      <c r="K946" s="61"/>
    </row>
    <row r="947">
      <c r="C947" s="61"/>
      <c r="H947" s="61"/>
      <c r="I947" s="61"/>
      <c r="J947" s="61"/>
      <c r="K947" s="61"/>
    </row>
    <row r="948">
      <c r="C948" s="61"/>
      <c r="H948" s="61"/>
      <c r="I948" s="61"/>
      <c r="J948" s="61"/>
      <c r="K948" s="61"/>
    </row>
    <row r="949">
      <c r="C949" s="61"/>
      <c r="H949" s="61"/>
      <c r="I949" s="61"/>
      <c r="J949" s="61"/>
      <c r="K949" s="61"/>
    </row>
    <row r="950">
      <c r="C950" s="61"/>
      <c r="H950" s="61"/>
      <c r="I950" s="61"/>
      <c r="J950" s="61"/>
      <c r="K950" s="61"/>
    </row>
    <row r="951">
      <c r="C951" s="61"/>
      <c r="H951" s="61"/>
      <c r="I951" s="61"/>
      <c r="J951" s="61"/>
      <c r="K951" s="61"/>
    </row>
    <row r="952">
      <c r="C952" s="61"/>
      <c r="H952" s="61"/>
      <c r="I952" s="61"/>
      <c r="J952" s="61"/>
      <c r="K952" s="61"/>
    </row>
    <row r="953">
      <c r="C953" s="61"/>
      <c r="H953" s="61"/>
      <c r="I953" s="61"/>
      <c r="J953" s="61"/>
      <c r="K953" s="61"/>
    </row>
    <row r="954">
      <c r="C954" s="61"/>
      <c r="H954" s="61"/>
      <c r="I954" s="61"/>
      <c r="J954" s="61"/>
      <c r="K954" s="61"/>
    </row>
    <row r="955">
      <c r="C955" s="61"/>
      <c r="H955" s="61"/>
      <c r="I955" s="61"/>
      <c r="J955" s="61"/>
      <c r="K955" s="61"/>
    </row>
    <row r="956">
      <c r="C956" s="61"/>
      <c r="H956" s="61"/>
      <c r="I956" s="61"/>
      <c r="J956" s="61"/>
      <c r="K956" s="61"/>
    </row>
    <row r="957">
      <c r="C957" s="61"/>
      <c r="H957" s="61"/>
      <c r="I957" s="61"/>
      <c r="J957" s="61"/>
      <c r="K957" s="61"/>
    </row>
    <row r="958">
      <c r="C958" s="61"/>
      <c r="H958" s="61"/>
      <c r="I958" s="61"/>
      <c r="J958" s="61"/>
      <c r="K958" s="61"/>
    </row>
    <row r="959">
      <c r="C959" s="61"/>
      <c r="H959" s="61"/>
      <c r="I959" s="61"/>
      <c r="J959" s="61"/>
      <c r="K959" s="61"/>
    </row>
    <row r="960">
      <c r="C960" s="61"/>
      <c r="H960" s="61"/>
      <c r="I960" s="61"/>
      <c r="J960" s="61"/>
      <c r="K960" s="61"/>
    </row>
    <row r="961">
      <c r="C961" s="61"/>
      <c r="H961" s="61"/>
      <c r="I961" s="61"/>
      <c r="J961" s="61"/>
      <c r="K961" s="61"/>
    </row>
    <row r="962">
      <c r="C962" s="61"/>
      <c r="H962" s="61"/>
      <c r="I962" s="61"/>
      <c r="J962" s="61"/>
      <c r="K962" s="61"/>
    </row>
    <row r="963">
      <c r="C963" s="61"/>
      <c r="H963" s="61"/>
      <c r="I963" s="61"/>
      <c r="J963" s="61"/>
      <c r="K963" s="61"/>
    </row>
    <row r="964">
      <c r="C964" s="61"/>
      <c r="H964" s="61"/>
      <c r="I964" s="61"/>
      <c r="J964" s="61"/>
      <c r="K964" s="61"/>
    </row>
    <row r="965">
      <c r="C965" s="61"/>
      <c r="H965" s="61"/>
      <c r="I965" s="61"/>
      <c r="J965" s="61"/>
      <c r="K965" s="61"/>
    </row>
    <row r="966">
      <c r="C966" s="61"/>
      <c r="H966" s="61"/>
      <c r="I966" s="61"/>
      <c r="J966" s="61"/>
      <c r="K966" s="61"/>
    </row>
    <row r="967">
      <c r="C967" s="61"/>
      <c r="H967" s="61"/>
      <c r="I967" s="61"/>
      <c r="J967" s="61"/>
      <c r="K967" s="61"/>
    </row>
    <row r="968">
      <c r="C968" s="61"/>
      <c r="H968" s="61"/>
      <c r="I968" s="61"/>
      <c r="J968" s="61"/>
      <c r="K968" s="61"/>
    </row>
    <row r="969">
      <c r="C969" s="61"/>
      <c r="H969" s="61"/>
      <c r="I969" s="61"/>
      <c r="J969" s="61"/>
      <c r="K969" s="61"/>
    </row>
    <row r="970">
      <c r="C970" s="61"/>
      <c r="H970" s="61"/>
      <c r="I970" s="61"/>
      <c r="J970" s="61"/>
      <c r="K970" s="61"/>
    </row>
    <row r="971">
      <c r="C971" s="61"/>
      <c r="H971" s="61"/>
      <c r="I971" s="61"/>
      <c r="J971" s="61"/>
      <c r="K971" s="61"/>
    </row>
    <row r="972">
      <c r="C972" s="61"/>
      <c r="H972" s="61"/>
      <c r="I972" s="61"/>
      <c r="J972" s="61"/>
      <c r="K972" s="61"/>
    </row>
    <row r="973">
      <c r="C973" s="61"/>
      <c r="H973" s="61"/>
      <c r="I973" s="61"/>
      <c r="J973" s="61"/>
      <c r="K973" s="61"/>
    </row>
    <row r="974">
      <c r="C974" s="61"/>
      <c r="H974" s="61"/>
      <c r="I974" s="61"/>
      <c r="J974" s="61"/>
      <c r="K974" s="61"/>
    </row>
    <row r="975">
      <c r="C975" s="61"/>
      <c r="H975" s="61"/>
      <c r="I975" s="61"/>
      <c r="J975" s="61"/>
      <c r="K975" s="61"/>
    </row>
    <row r="976">
      <c r="C976" s="61"/>
      <c r="H976" s="61"/>
      <c r="I976" s="61"/>
      <c r="J976" s="61"/>
      <c r="K976" s="61"/>
    </row>
    <row r="977">
      <c r="C977" s="61"/>
      <c r="H977" s="61"/>
      <c r="I977" s="61"/>
      <c r="J977" s="61"/>
      <c r="K977" s="61"/>
    </row>
    <row r="978">
      <c r="C978" s="61"/>
      <c r="H978" s="61"/>
      <c r="I978" s="61"/>
      <c r="J978" s="61"/>
      <c r="K978" s="61"/>
    </row>
    <row r="979">
      <c r="C979" s="61"/>
      <c r="H979" s="61"/>
      <c r="I979" s="61"/>
      <c r="J979" s="61"/>
      <c r="K979" s="61"/>
    </row>
    <row r="980">
      <c r="C980" s="61"/>
      <c r="H980" s="61"/>
      <c r="I980" s="61"/>
      <c r="J980" s="61"/>
      <c r="K980" s="61"/>
    </row>
    <row r="981">
      <c r="C981" s="61"/>
      <c r="H981" s="61"/>
      <c r="I981" s="61"/>
      <c r="J981" s="61"/>
      <c r="K981" s="61"/>
    </row>
    <row r="982">
      <c r="C982" s="61"/>
      <c r="H982" s="61"/>
      <c r="I982" s="61"/>
      <c r="J982" s="61"/>
      <c r="K982" s="61"/>
    </row>
    <row r="983">
      <c r="C983" s="61"/>
      <c r="H983" s="61"/>
      <c r="I983" s="61"/>
      <c r="J983" s="61"/>
      <c r="K983" s="61"/>
    </row>
    <row r="984">
      <c r="C984" s="61"/>
      <c r="H984" s="61"/>
      <c r="I984" s="61"/>
      <c r="J984" s="61"/>
      <c r="K984" s="61"/>
    </row>
    <row r="985">
      <c r="C985" s="61"/>
      <c r="H985" s="61"/>
      <c r="I985" s="61"/>
      <c r="J985" s="61"/>
      <c r="K985" s="61"/>
    </row>
    <row r="986">
      <c r="C986" s="61"/>
      <c r="H986" s="61"/>
      <c r="I986" s="61"/>
      <c r="J986" s="61"/>
      <c r="K986" s="61"/>
    </row>
    <row r="987">
      <c r="C987" s="61"/>
      <c r="H987" s="61"/>
      <c r="I987" s="61"/>
      <c r="J987" s="61"/>
      <c r="K987" s="61"/>
    </row>
    <row r="988">
      <c r="C988" s="61"/>
      <c r="H988" s="61"/>
      <c r="I988" s="61"/>
      <c r="J988" s="61"/>
      <c r="K988" s="61"/>
    </row>
    <row r="989">
      <c r="C989" s="61"/>
      <c r="H989" s="61"/>
      <c r="I989" s="61"/>
      <c r="J989" s="61"/>
      <c r="K989" s="61"/>
    </row>
    <row r="990">
      <c r="C990" s="61"/>
      <c r="H990" s="61"/>
      <c r="I990" s="61"/>
      <c r="J990" s="61"/>
      <c r="K990" s="61"/>
    </row>
    <row r="991">
      <c r="C991" s="61"/>
      <c r="H991" s="61"/>
      <c r="I991" s="61"/>
      <c r="J991" s="61"/>
      <c r="K991" s="61"/>
    </row>
    <row r="992">
      <c r="C992" s="61"/>
      <c r="H992" s="61"/>
      <c r="I992" s="61"/>
      <c r="J992" s="61"/>
      <c r="K992" s="61"/>
    </row>
    <row r="993">
      <c r="C993" s="61"/>
      <c r="H993" s="61"/>
      <c r="I993" s="61"/>
      <c r="J993" s="61"/>
      <c r="K993" s="61"/>
    </row>
    <row r="994">
      <c r="C994" s="61"/>
      <c r="H994" s="61"/>
      <c r="I994" s="61"/>
      <c r="J994" s="61"/>
      <c r="K994" s="61"/>
    </row>
    <row r="995">
      <c r="C995" s="61"/>
      <c r="H995" s="61"/>
      <c r="I995" s="61"/>
      <c r="J995" s="61"/>
      <c r="K995" s="61"/>
    </row>
    <row r="996">
      <c r="C996" s="61"/>
      <c r="H996" s="61"/>
      <c r="I996" s="61"/>
      <c r="J996" s="61"/>
      <c r="K996" s="61"/>
    </row>
    <row r="997">
      <c r="C997" s="61"/>
      <c r="H997" s="61"/>
      <c r="I997" s="61"/>
      <c r="J997" s="61"/>
      <c r="K997" s="61"/>
    </row>
    <row r="998">
      <c r="C998" s="61"/>
      <c r="H998" s="61"/>
      <c r="I998" s="61"/>
      <c r="J998" s="61"/>
      <c r="K998" s="61"/>
    </row>
    <row r="999">
      <c r="C999" s="61"/>
      <c r="H999" s="61"/>
      <c r="I999" s="61"/>
      <c r="J999" s="61"/>
      <c r="K999" s="61"/>
    </row>
    <row r="1000">
      <c r="C1000" s="61"/>
      <c r="H1000" s="61"/>
      <c r="I1000" s="61"/>
      <c r="J1000" s="61"/>
      <c r="K1000" s="61"/>
    </row>
    <row r="1001">
      <c r="C1001" s="61"/>
      <c r="H1001" s="61"/>
      <c r="I1001" s="61"/>
      <c r="J1001" s="61"/>
      <c r="K1001" s="61"/>
    </row>
    <row r="1002">
      <c r="C1002" s="61"/>
      <c r="H1002" s="61"/>
      <c r="I1002" s="61"/>
      <c r="J1002" s="61"/>
      <c r="K1002" s="61"/>
    </row>
    <row r="1003">
      <c r="C1003" s="61"/>
      <c r="H1003" s="61"/>
      <c r="I1003" s="61"/>
      <c r="J1003" s="61"/>
      <c r="K1003" s="61"/>
    </row>
    <row r="1004">
      <c r="C1004" s="61"/>
      <c r="H1004" s="61"/>
      <c r="I1004" s="61"/>
      <c r="J1004" s="61"/>
      <c r="K1004" s="61"/>
    </row>
    <row r="1005">
      <c r="C1005" s="61"/>
      <c r="H1005" s="61"/>
      <c r="I1005" s="61"/>
      <c r="J1005" s="61"/>
      <c r="K1005" s="61"/>
    </row>
    <row r="1006">
      <c r="C1006" s="61"/>
      <c r="H1006" s="61"/>
      <c r="I1006" s="61"/>
      <c r="J1006" s="61"/>
      <c r="K1006" s="61"/>
    </row>
    <row r="1007">
      <c r="C1007" s="61"/>
      <c r="H1007" s="61"/>
      <c r="I1007" s="61"/>
      <c r="J1007" s="61"/>
      <c r="K1007" s="61"/>
    </row>
    <row r="1008">
      <c r="C1008" s="61"/>
      <c r="H1008" s="61"/>
      <c r="I1008" s="61"/>
      <c r="J1008" s="61"/>
      <c r="K1008" s="61"/>
    </row>
    <row r="1009">
      <c r="C1009" s="61"/>
      <c r="H1009" s="61"/>
      <c r="I1009" s="61"/>
      <c r="J1009" s="61"/>
      <c r="K1009" s="61"/>
    </row>
    <row r="1010">
      <c r="C1010" s="61"/>
      <c r="H1010" s="61"/>
      <c r="I1010" s="61"/>
      <c r="J1010" s="61"/>
      <c r="K1010" s="61"/>
    </row>
    <row r="1011">
      <c r="C1011" s="61"/>
      <c r="H1011" s="61"/>
      <c r="I1011" s="61"/>
      <c r="J1011" s="61"/>
      <c r="K1011" s="61"/>
    </row>
    <row r="1012">
      <c r="C1012" s="61"/>
      <c r="H1012" s="61"/>
      <c r="I1012" s="61"/>
      <c r="J1012" s="61"/>
      <c r="K1012" s="61"/>
    </row>
    <row r="1013">
      <c r="C1013" s="61"/>
      <c r="H1013" s="61"/>
      <c r="I1013" s="61"/>
      <c r="J1013" s="61"/>
      <c r="K1013" s="61"/>
    </row>
    <row r="1014">
      <c r="C1014" s="61"/>
      <c r="H1014" s="61"/>
      <c r="I1014" s="61"/>
      <c r="J1014" s="61"/>
      <c r="K1014" s="61"/>
    </row>
    <row r="1015">
      <c r="C1015" s="61"/>
      <c r="H1015" s="61"/>
      <c r="I1015" s="61"/>
      <c r="J1015" s="61"/>
      <c r="K1015" s="61"/>
    </row>
    <row r="1016">
      <c r="C1016" s="61"/>
      <c r="H1016" s="61"/>
      <c r="I1016" s="61"/>
      <c r="J1016" s="61"/>
      <c r="K1016" s="61"/>
    </row>
    <row r="1017">
      <c r="C1017" s="61"/>
      <c r="H1017" s="61"/>
      <c r="I1017" s="61"/>
      <c r="J1017" s="61"/>
      <c r="K1017" s="61"/>
    </row>
    <row r="1018">
      <c r="C1018" s="61"/>
      <c r="H1018" s="61"/>
      <c r="I1018" s="61"/>
      <c r="J1018" s="61"/>
      <c r="K1018" s="61"/>
    </row>
    <row r="1019">
      <c r="C1019" s="61"/>
      <c r="H1019" s="61"/>
      <c r="I1019" s="61"/>
      <c r="J1019" s="61"/>
      <c r="K1019" s="61"/>
    </row>
    <row r="1020">
      <c r="C1020" s="61"/>
      <c r="H1020" s="61"/>
      <c r="I1020" s="61"/>
      <c r="J1020" s="61"/>
      <c r="K1020" s="61"/>
    </row>
    <row r="1021">
      <c r="C1021" s="61"/>
      <c r="H1021" s="61"/>
      <c r="I1021" s="61"/>
      <c r="J1021" s="61"/>
      <c r="K1021" s="61"/>
    </row>
    <row r="1022">
      <c r="C1022" s="61"/>
      <c r="H1022" s="61"/>
      <c r="I1022" s="61"/>
      <c r="J1022" s="61"/>
      <c r="K1022" s="61"/>
    </row>
  </sheetData>
  <mergeCells count="20"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C42:S42"/>
    <mergeCell ref="C43:S43"/>
    <mergeCell ref="A1:A5"/>
    <mergeCell ref="B1:O1"/>
    <mergeCell ref="D2:F2"/>
    <mergeCell ref="D3:F3"/>
    <mergeCell ref="B4:O4"/>
    <mergeCell ref="A6:A32"/>
    <mergeCell ref="B6:B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9" t="s">
        <v>23</v>
      </c>
      <c r="U5" s="9" t="s">
        <v>24</v>
      </c>
      <c r="V5" s="9" t="s">
        <v>25</v>
      </c>
      <c r="W5" s="10" t="s">
        <v>26</v>
      </c>
      <c r="X5" s="11" t="s">
        <v>27</v>
      </c>
    </row>
    <row r="6" ht="22.5" customHeight="1">
      <c r="A6" s="1"/>
      <c r="B6" s="12">
        <v>0.0</v>
      </c>
      <c r="C6" s="13" t="s">
        <v>28</v>
      </c>
      <c r="D6" s="14">
        <v>45628.0</v>
      </c>
      <c r="E6" s="14">
        <v>45631.0</v>
      </c>
      <c r="F6" s="15">
        <v>45634.0</v>
      </c>
      <c r="G6" s="14">
        <v>45641.0</v>
      </c>
      <c r="H6" s="14">
        <v>45644.0</v>
      </c>
      <c r="I6" s="14">
        <v>45646.0</v>
      </c>
      <c r="J6" s="14">
        <v>45647.0</v>
      </c>
      <c r="K6" s="15">
        <v>45649.0</v>
      </c>
      <c r="L6" s="16"/>
      <c r="M6" s="16"/>
      <c r="N6" s="17"/>
      <c r="O6" s="17"/>
      <c r="P6" s="18"/>
      <c r="Q6" s="19"/>
      <c r="R6" s="19"/>
      <c r="S6" s="19"/>
      <c r="T6" s="18">
        <v>46003.0</v>
      </c>
      <c r="U6" s="19"/>
      <c r="V6" s="19"/>
      <c r="W6" s="19"/>
      <c r="X6" s="20"/>
      <c r="Y6" s="21"/>
      <c r="Z6" s="21"/>
      <c r="AA6" s="21"/>
      <c r="AB6" s="21"/>
      <c r="AC6" s="21"/>
      <c r="AD6" s="21"/>
      <c r="AE6" s="21"/>
      <c r="AF6" s="21"/>
    </row>
    <row r="7" ht="33.75" customHeight="1">
      <c r="B7" s="22"/>
      <c r="C7" s="23" t="s">
        <v>29</v>
      </c>
      <c r="D7" s="24">
        <v>2.0</v>
      </c>
      <c r="E7" s="24">
        <v>1.5</v>
      </c>
      <c r="F7" s="23">
        <v>0.0</v>
      </c>
      <c r="G7" s="24">
        <v>1.5</v>
      </c>
      <c r="H7" s="23">
        <v>2.0</v>
      </c>
      <c r="I7" s="24">
        <v>1.0</v>
      </c>
      <c r="J7" s="24">
        <v>2.0</v>
      </c>
      <c r="K7" s="23">
        <v>0.0</v>
      </c>
      <c r="L7" s="25"/>
      <c r="M7" s="25"/>
      <c r="N7" s="26"/>
      <c r="O7" s="26"/>
      <c r="P7" s="24"/>
      <c r="Q7" s="19"/>
      <c r="R7" s="19"/>
      <c r="S7" s="24"/>
      <c r="T7" s="24">
        <v>2.0</v>
      </c>
      <c r="U7" s="19"/>
      <c r="V7" s="19"/>
      <c r="W7" s="24">
        <f>SUM(G7:V7)</f>
        <v>8.5</v>
      </c>
      <c r="X7" s="27">
        <v>0.0</v>
      </c>
    </row>
    <row r="8" ht="33.75" customHeight="1">
      <c r="B8" s="28"/>
      <c r="C8" s="29" t="s">
        <v>30</v>
      </c>
      <c r="D8" s="25"/>
      <c r="E8" s="25"/>
      <c r="F8" s="29" t="s">
        <v>31</v>
      </c>
      <c r="G8" s="25"/>
      <c r="H8" s="29" t="s">
        <v>32</v>
      </c>
      <c r="I8" s="25"/>
      <c r="J8" s="25"/>
      <c r="K8" s="29" t="s">
        <v>33</v>
      </c>
      <c r="L8" s="25"/>
      <c r="M8" s="25"/>
      <c r="N8" s="26"/>
      <c r="O8" s="26"/>
      <c r="P8" s="24"/>
      <c r="Q8" s="19"/>
      <c r="R8" s="19"/>
      <c r="S8" s="24"/>
      <c r="T8" s="24"/>
      <c r="U8" s="19"/>
      <c r="V8" s="19"/>
      <c r="W8" s="24"/>
      <c r="X8" s="20"/>
    </row>
    <row r="9" ht="22.5" customHeight="1">
      <c r="B9" s="12">
        <v>1.0</v>
      </c>
      <c r="C9" s="30" t="s">
        <v>34</v>
      </c>
      <c r="D9" s="45">
        <v>45932.0</v>
      </c>
      <c r="E9" s="45">
        <v>45943.0</v>
      </c>
      <c r="F9" s="45">
        <v>45946.0</v>
      </c>
      <c r="G9" s="45">
        <v>45950.0</v>
      </c>
      <c r="H9" s="45">
        <v>45953.0</v>
      </c>
      <c r="I9" s="45">
        <v>45957.0</v>
      </c>
      <c r="J9" s="45">
        <v>45960.0</v>
      </c>
      <c r="K9" s="45"/>
      <c r="L9" s="50"/>
      <c r="M9" s="46"/>
      <c r="N9" s="34"/>
      <c r="O9" s="34"/>
      <c r="P9" s="35"/>
      <c r="Q9" s="36"/>
      <c r="R9" s="36"/>
      <c r="S9" s="36"/>
      <c r="T9" s="36"/>
      <c r="U9" s="36"/>
      <c r="V9" s="36"/>
      <c r="W9" s="36"/>
      <c r="X9" s="20"/>
      <c r="Y9" s="21"/>
      <c r="Z9" s="21"/>
      <c r="AA9" s="21"/>
      <c r="AB9" s="21"/>
      <c r="AC9" s="21"/>
      <c r="AD9" s="21"/>
      <c r="AE9" s="21"/>
      <c r="AF9" s="21"/>
    </row>
    <row r="10" ht="22.5" customHeight="1">
      <c r="B10" s="22"/>
      <c r="C10" s="37" t="s">
        <v>29</v>
      </c>
      <c r="D10" s="38">
        <v>1.5</v>
      </c>
      <c r="E10" s="38">
        <v>1.0</v>
      </c>
      <c r="F10" s="38">
        <v>1.5</v>
      </c>
      <c r="G10" s="38">
        <v>1.0</v>
      </c>
      <c r="H10" s="38">
        <v>1.5</v>
      </c>
      <c r="I10" s="38">
        <v>1.0</v>
      </c>
      <c r="J10" s="38">
        <v>1.5</v>
      </c>
      <c r="K10" s="38"/>
      <c r="L10" s="38"/>
      <c r="M10" s="39"/>
      <c r="N10" s="40"/>
      <c r="O10" s="40"/>
      <c r="P10" s="36"/>
      <c r="Q10" s="36"/>
      <c r="R10" s="36"/>
      <c r="S10" s="41"/>
      <c r="T10" s="41"/>
      <c r="U10" s="41"/>
      <c r="V10" s="41"/>
      <c r="W10" s="41">
        <v>9.0</v>
      </c>
      <c r="X10" s="42">
        <f>W10*30000</f>
        <v>270000</v>
      </c>
    </row>
    <row r="11" ht="30.75" customHeight="1">
      <c r="B11" s="28"/>
      <c r="C11" s="43" t="s">
        <v>30</v>
      </c>
      <c r="D11" s="45"/>
      <c r="E11" s="45"/>
      <c r="F11" s="38"/>
      <c r="G11" s="45"/>
      <c r="H11" s="45"/>
      <c r="I11" s="45"/>
      <c r="J11" s="38"/>
      <c r="K11" s="39"/>
      <c r="L11" s="39"/>
      <c r="M11" s="39"/>
      <c r="N11" s="40"/>
      <c r="O11" s="40"/>
      <c r="P11" s="36"/>
      <c r="Q11" s="36"/>
      <c r="R11" s="36"/>
      <c r="S11" s="36"/>
      <c r="T11" s="36"/>
      <c r="U11" s="36"/>
      <c r="V11" s="36"/>
      <c r="W11" s="36"/>
      <c r="X11" s="20"/>
    </row>
    <row r="12" ht="22.5" customHeight="1">
      <c r="B12" s="12">
        <v>2.0</v>
      </c>
      <c r="C12" s="30" t="s">
        <v>60</v>
      </c>
      <c r="D12" s="45">
        <v>45932.0</v>
      </c>
      <c r="E12" s="45">
        <v>45936.0</v>
      </c>
      <c r="F12" s="45">
        <v>45943.0</v>
      </c>
      <c r="G12" s="45">
        <v>45946.0</v>
      </c>
      <c r="H12" s="45">
        <v>45950.0</v>
      </c>
      <c r="I12" s="45">
        <v>45953.0</v>
      </c>
      <c r="J12" s="45">
        <v>45957.0</v>
      </c>
      <c r="K12" s="45">
        <v>45960.0</v>
      </c>
      <c r="L12" s="50"/>
      <c r="M12" s="45"/>
      <c r="N12" s="45"/>
      <c r="O12" s="34"/>
      <c r="P12" s="36"/>
      <c r="Q12" s="36"/>
      <c r="R12" s="36"/>
      <c r="S12" s="36"/>
      <c r="T12" s="36"/>
      <c r="U12" s="36"/>
      <c r="V12" s="36"/>
      <c r="W12" s="36"/>
      <c r="X12" s="42"/>
      <c r="Y12" s="21"/>
      <c r="Z12" s="21"/>
      <c r="AA12" s="21"/>
      <c r="AB12" s="21"/>
      <c r="AC12" s="21"/>
      <c r="AD12" s="21"/>
      <c r="AE12" s="21"/>
      <c r="AF12" s="21"/>
    </row>
    <row r="13" ht="22.5" customHeight="1">
      <c r="B13" s="22"/>
      <c r="C13" s="37" t="s">
        <v>29</v>
      </c>
      <c r="D13" s="38">
        <v>2.0</v>
      </c>
      <c r="E13" s="38">
        <v>2.0</v>
      </c>
      <c r="F13" s="38">
        <v>2.0</v>
      </c>
      <c r="G13" s="38">
        <v>2.0</v>
      </c>
      <c r="H13" s="38">
        <v>2.0</v>
      </c>
      <c r="I13" s="38">
        <v>2.0</v>
      </c>
      <c r="J13" s="38">
        <v>2.0</v>
      </c>
      <c r="K13" s="38">
        <v>2.0</v>
      </c>
      <c r="L13" s="38"/>
      <c r="M13" s="38"/>
      <c r="N13" s="38"/>
      <c r="O13" s="40"/>
      <c r="P13" s="36"/>
      <c r="Q13" s="36"/>
      <c r="R13" s="36"/>
      <c r="S13" s="36"/>
      <c r="T13" s="36"/>
      <c r="U13" s="36"/>
      <c r="V13" s="36"/>
      <c r="W13" s="41">
        <v>16.0</v>
      </c>
      <c r="X13" s="42">
        <f>W13*30000</f>
        <v>480000</v>
      </c>
    </row>
    <row r="14" ht="29.25" customHeight="1">
      <c r="B14" s="28"/>
      <c r="C14" s="43" t="s">
        <v>30</v>
      </c>
      <c r="D14" s="45"/>
      <c r="E14" s="45"/>
      <c r="F14" s="45"/>
      <c r="G14" s="38"/>
      <c r="H14" s="38"/>
      <c r="I14" s="44"/>
      <c r="J14" s="44" t="s">
        <v>82</v>
      </c>
      <c r="K14" s="38"/>
      <c r="L14" s="38"/>
      <c r="M14" s="38"/>
      <c r="N14" s="40"/>
      <c r="O14" s="40"/>
      <c r="P14" s="36"/>
      <c r="Q14" s="36"/>
      <c r="R14" s="36"/>
      <c r="S14" s="36"/>
      <c r="T14" s="36"/>
      <c r="U14" s="36"/>
      <c r="V14" s="36"/>
      <c r="W14" s="36"/>
      <c r="X14" s="42"/>
    </row>
    <row r="15" ht="22.5" customHeight="1">
      <c r="B15" s="12">
        <v>3.0</v>
      </c>
      <c r="C15" s="30" t="s">
        <v>37</v>
      </c>
      <c r="D15" s="45">
        <v>45931.0</v>
      </c>
      <c r="E15" s="45">
        <v>45941.0</v>
      </c>
      <c r="F15" s="45">
        <v>45948.0</v>
      </c>
      <c r="G15" s="45">
        <v>45955.0</v>
      </c>
      <c r="H15" s="45"/>
      <c r="I15" s="50"/>
      <c r="J15" s="50"/>
      <c r="K15" s="50"/>
      <c r="L15" s="46"/>
      <c r="M15" s="46"/>
      <c r="N15" s="34"/>
      <c r="O15" s="34"/>
      <c r="P15" s="36"/>
      <c r="Q15" s="36"/>
      <c r="R15" s="36"/>
      <c r="S15" s="36"/>
      <c r="T15" s="36"/>
      <c r="U15" s="36"/>
      <c r="V15" s="36"/>
      <c r="W15" s="36"/>
      <c r="X15" s="20"/>
      <c r="Y15" s="21"/>
      <c r="Z15" s="21"/>
      <c r="AA15" s="21"/>
      <c r="AB15" s="21"/>
      <c r="AC15" s="21"/>
      <c r="AD15" s="21"/>
      <c r="AE15" s="21"/>
      <c r="AF15" s="21"/>
    </row>
    <row r="16" ht="22.5" customHeight="1">
      <c r="B16" s="22"/>
      <c r="C16" s="37" t="s">
        <v>29</v>
      </c>
      <c r="D16" s="38">
        <v>1.0</v>
      </c>
      <c r="E16" s="38">
        <v>1.0</v>
      </c>
      <c r="F16" s="38">
        <v>1.0</v>
      </c>
      <c r="G16" s="38">
        <v>1.0</v>
      </c>
      <c r="H16" s="38"/>
      <c r="I16" s="45"/>
      <c r="J16" s="45"/>
      <c r="K16" s="45"/>
      <c r="L16" s="39"/>
      <c r="M16" s="39"/>
      <c r="N16" s="40"/>
      <c r="O16" s="40"/>
      <c r="P16" s="49"/>
      <c r="Q16" s="49"/>
      <c r="R16" s="49"/>
      <c r="S16" s="36"/>
      <c r="T16" s="36"/>
      <c r="U16" s="36"/>
      <c r="V16" s="36"/>
      <c r="W16" s="41">
        <v>4.0</v>
      </c>
      <c r="X16" s="42">
        <f>W16*30000</f>
        <v>120000</v>
      </c>
    </row>
    <row r="17" ht="36.0" customHeight="1">
      <c r="B17" s="28"/>
      <c r="C17" s="43" t="s">
        <v>30</v>
      </c>
      <c r="D17" s="45"/>
      <c r="E17" s="45"/>
      <c r="F17" s="45"/>
      <c r="G17" s="44"/>
      <c r="H17" s="45"/>
      <c r="I17" s="45"/>
      <c r="J17" s="45"/>
      <c r="K17" s="45"/>
      <c r="L17" s="39"/>
      <c r="M17" s="39"/>
      <c r="N17" s="40"/>
      <c r="O17" s="40"/>
      <c r="P17" s="49"/>
      <c r="Q17" s="49"/>
      <c r="R17" s="49"/>
      <c r="S17" s="36"/>
      <c r="T17" s="36"/>
      <c r="U17" s="36"/>
      <c r="V17" s="36"/>
      <c r="W17" s="36"/>
      <c r="X17" s="42"/>
    </row>
    <row r="18" ht="22.5" customHeight="1">
      <c r="B18" s="12">
        <v>4.0</v>
      </c>
      <c r="C18" s="30" t="s">
        <v>39</v>
      </c>
      <c r="D18" s="45">
        <v>45943.0</v>
      </c>
      <c r="E18" s="45">
        <v>45945.0</v>
      </c>
      <c r="F18" s="45">
        <v>45950.0</v>
      </c>
      <c r="G18" s="45">
        <v>45952.0</v>
      </c>
      <c r="H18" s="45">
        <v>45957.0</v>
      </c>
      <c r="I18" s="45">
        <v>45959.0</v>
      </c>
      <c r="J18" s="45"/>
      <c r="K18" s="45"/>
      <c r="L18" s="50"/>
      <c r="M18" s="50"/>
      <c r="N18" s="45"/>
      <c r="O18" s="34"/>
      <c r="P18" s="49"/>
      <c r="Q18" s="49"/>
      <c r="R18" s="49"/>
      <c r="S18" s="36"/>
      <c r="T18" s="36"/>
      <c r="U18" s="36"/>
      <c r="V18" s="36"/>
      <c r="W18" s="36"/>
      <c r="X18" s="20"/>
      <c r="Y18" s="21"/>
      <c r="Z18" s="21"/>
      <c r="AA18" s="21"/>
      <c r="AB18" s="21"/>
      <c r="AC18" s="21"/>
      <c r="AD18" s="21"/>
      <c r="AE18" s="21"/>
      <c r="AF18" s="21"/>
    </row>
    <row r="19" ht="22.5" customHeight="1">
      <c r="B19" s="22"/>
      <c r="C19" s="43" t="s">
        <v>29</v>
      </c>
      <c r="D19" s="38">
        <v>1.5</v>
      </c>
      <c r="E19" s="38">
        <v>1.5</v>
      </c>
      <c r="F19" s="38">
        <v>1.5</v>
      </c>
      <c r="G19" s="38">
        <v>1.5</v>
      </c>
      <c r="H19" s="38">
        <v>1.5</v>
      </c>
      <c r="I19" s="38">
        <v>1.5</v>
      </c>
      <c r="J19" s="38"/>
      <c r="K19" s="38"/>
      <c r="L19" s="39"/>
      <c r="M19" s="39"/>
      <c r="N19" s="40"/>
      <c r="O19" s="40"/>
      <c r="P19" s="49"/>
      <c r="Q19" s="49"/>
      <c r="R19" s="49"/>
      <c r="S19" s="36"/>
      <c r="T19" s="36"/>
      <c r="U19" s="36"/>
      <c r="V19" s="36"/>
      <c r="W19" s="41">
        <v>9.0</v>
      </c>
      <c r="X19" s="42">
        <f>W19*30000</f>
        <v>270000</v>
      </c>
    </row>
    <row r="20" ht="30.75" customHeight="1">
      <c r="B20" s="28"/>
      <c r="C20" s="43" t="s">
        <v>30</v>
      </c>
      <c r="D20" s="44"/>
      <c r="E20" s="44"/>
      <c r="F20" s="45"/>
      <c r="G20" s="45"/>
      <c r="H20" s="45"/>
      <c r="I20" s="38"/>
      <c r="J20" s="38"/>
      <c r="K20" s="38"/>
      <c r="L20" s="39"/>
      <c r="M20" s="39"/>
      <c r="N20" s="40"/>
      <c r="O20" s="40"/>
      <c r="P20" s="49"/>
      <c r="Q20" s="49"/>
      <c r="R20" s="49"/>
      <c r="S20" s="36"/>
      <c r="T20" s="36"/>
      <c r="U20" s="36"/>
      <c r="V20" s="36"/>
      <c r="W20" s="36"/>
      <c r="X20" s="42"/>
    </row>
    <row r="21" ht="22.5" customHeight="1">
      <c r="B21" s="12">
        <v>5.0</v>
      </c>
      <c r="C21" s="30" t="s">
        <v>40</v>
      </c>
      <c r="D21" s="45">
        <v>45944.0</v>
      </c>
      <c r="E21" s="45">
        <v>45946.0</v>
      </c>
      <c r="F21" s="45">
        <v>45951.0</v>
      </c>
      <c r="G21" s="45">
        <v>45953.0</v>
      </c>
      <c r="H21" s="45">
        <v>45958.0</v>
      </c>
      <c r="I21" s="45">
        <v>45960.0</v>
      </c>
      <c r="J21" s="50"/>
      <c r="K21" s="45"/>
      <c r="L21" s="45"/>
      <c r="M21" s="45"/>
      <c r="N21" s="45"/>
      <c r="O21" s="34"/>
      <c r="P21" s="36"/>
      <c r="Q21" s="36"/>
      <c r="R21" s="36"/>
      <c r="S21" s="36"/>
      <c r="T21" s="36"/>
      <c r="U21" s="36"/>
      <c r="V21" s="36"/>
      <c r="W21" s="36"/>
      <c r="X21" s="42"/>
      <c r="Y21" s="21"/>
      <c r="Z21" s="21"/>
      <c r="AA21" s="21"/>
      <c r="AB21" s="21"/>
      <c r="AC21" s="21"/>
      <c r="AD21" s="21"/>
      <c r="AE21" s="21"/>
      <c r="AF21" s="21"/>
    </row>
    <row r="22" ht="22.5" customHeight="1">
      <c r="B22" s="22"/>
      <c r="C22" s="43" t="s">
        <v>29</v>
      </c>
      <c r="D22" s="38">
        <v>1.5</v>
      </c>
      <c r="E22" s="38">
        <v>1.5</v>
      </c>
      <c r="F22" s="38">
        <v>1.5</v>
      </c>
      <c r="G22" s="38">
        <v>1.5</v>
      </c>
      <c r="H22" s="38">
        <v>1.5</v>
      </c>
      <c r="I22" s="38">
        <v>1.5</v>
      </c>
      <c r="J22" s="38"/>
      <c r="K22" s="38"/>
      <c r="L22" s="39"/>
      <c r="M22" s="39"/>
      <c r="N22" s="40"/>
      <c r="O22" s="40"/>
      <c r="P22" s="36"/>
      <c r="Q22" s="36"/>
      <c r="R22" s="36"/>
      <c r="S22" s="36"/>
      <c r="T22" s="36"/>
      <c r="U22" s="36"/>
      <c r="V22" s="36"/>
      <c r="W22" s="41">
        <v>9.0</v>
      </c>
      <c r="X22" s="42">
        <f>W22*30000</f>
        <v>270000</v>
      </c>
    </row>
    <row r="23" ht="22.5" customHeight="1">
      <c r="B23" s="28"/>
      <c r="C23" s="43" t="s">
        <v>30</v>
      </c>
      <c r="D23" s="44"/>
      <c r="E23" s="44"/>
      <c r="F23" s="45"/>
      <c r="G23" s="45"/>
      <c r="H23" s="45"/>
      <c r="I23" s="44"/>
      <c r="J23" s="45"/>
      <c r="K23" s="45"/>
      <c r="L23" s="39"/>
      <c r="M23" s="39"/>
      <c r="N23" s="40"/>
      <c r="O23" s="40"/>
      <c r="P23" s="36"/>
      <c r="Q23" s="36"/>
      <c r="R23" s="36"/>
      <c r="S23" s="36"/>
      <c r="T23" s="36"/>
      <c r="U23" s="36"/>
      <c r="V23" s="36"/>
      <c r="W23" s="36"/>
      <c r="X23" s="42"/>
    </row>
    <row r="24" ht="22.5" customHeight="1">
      <c r="B24" s="12">
        <v>6.0</v>
      </c>
      <c r="C24" s="55" t="s">
        <v>75</v>
      </c>
      <c r="D24" s="63">
        <v>45932.0</v>
      </c>
      <c r="E24" s="45">
        <v>45940.0</v>
      </c>
      <c r="F24" s="45">
        <v>45944.0</v>
      </c>
      <c r="G24" s="63">
        <v>45947.0</v>
      </c>
      <c r="H24" s="45">
        <v>45951.0</v>
      </c>
      <c r="I24" s="45">
        <v>45954.0</v>
      </c>
      <c r="J24" s="45">
        <v>45958.0</v>
      </c>
      <c r="K24" s="63">
        <v>45961.0</v>
      </c>
      <c r="L24" s="50"/>
      <c r="M24" s="45"/>
      <c r="N24" s="45"/>
      <c r="O24" s="45"/>
      <c r="P24" s="45"/>
      <c r="Q24" s="45"/>
      <c r="R24" s="45"/>
      <c r="S24" s="41"/>
      <c r="T24" s="41"/>
      <c r="U24" s="41"/>
      <c r="V24" s="41"/>
      <c r="W24" s="41"/>
      <c r="X24" s="58"/>
      <c r="Y24" s="59"/>
      <c r="Z24" s="59"/>
      <c r="AA24" s="59"/>
      <c r="AB24" s="59"/>
      <c r="AC24" s="59"/>
      <c r="AD24" s="59"/>
      <c r="AE24" s="59"/>
      <c r="AF24" s="59"/>
    </row>
    <row r="25" ht="22.5" customHeight="1">
      <c r="B25" s="22"/>
      <c r="C25" s="37" t="s">
        <v>29</v>
      </c>
      <c r="D25" s="43">
        <v>0.0</v>
      </c>
      <c r="E25" s="43">
        <v>1.5</v>
      </c>
      <c r="F25" s="52">
        <v>2.0</v>
      </c>
      <c r="G25" s="52">
        <v>0.0</v>
      </c>
      <c r="H25" s="43">
        <v>1.5</v>
      </c>
      <c r="I25" s="43">
        <v>1.5</v>
      </c>
      <c r="J25" s="43">
        <v>1.5</v>
      </c>
      <c r="K25" s="43">
        <v>0.0</v>
      </c>
      <c r="L25" s="43"/>
      <c r="M25" s="43"/>
      <c r="N25" s="43"/>
      <c r="O25" s="43"/>
      <c r="P25" s="43"/>
      <c r="Q25" s="36"/>
      <c r="R25" s="36"/>
      <c r="S25" s="41"/>
      <c r="T25" s="41"/>
      <c r="U25" s="41"/>
      <c r="V25" s="41"/>
      <c r="W25" s="41">
        <v>8.0</v>
      </c>
      <c r="X25" s="42">
        <f>W25*55000</f>
        <v>440000</v>
      </c>
      <c r="Y25" s="59"/>
      <c r="Z25" s="60"/>
      <c r="AA25" s="59"/>
      <c r="AB25" s="59"/>
      <c r="AC25" s="59"/>
      <c r="AD25" s="59"/>
      <c r="AE25" s="59"/>
      <c r="AF25" s="59"/>
    </row>
    <row r="26" ht="27.0" customHeight="1">
      <c r="B26" s="28"/>
      <c r="C26" s="37" t="s">
        <v>30</v>
      </c>
      <c r="D26" s="44" t="s">
        <v>83</v>
      </c>
      <c r="E26" s="55" t="s">
        <v>84</v>
      </c>
      <c r="F26" s="55" t="s">
        <v>84</v>
      </c>
      <c r="G26" s="54" t="s">
        <v>85</v>
      </c>
      <c r="H26" s="55" t="s">
        <v>84</v>
      </c>
      <c r="I26" s="55" t="s">
        <v>84</v>
      </c>
      <c r="J26" s="44" t="s">
        <v>86</v>
      </c>
      <c r="K26" s="44" t="s">
        <v>49</v>
      </c>
      <c r="L26" s="55"/>
      <c r="M26" s="55"/>
      <c r="N26" s="55"/>
      <c r="O26" s="55"/>
      <c r="P26" s="55"/>
      <c r="Q26" s="44"/>
      <c r="R26" s="36"/>
      <c r="S26" s="36"/>
      <c r="T26" s="36"/>
      <c r="U26" s="36"/>
      <c r="V26" s="36"/>
      <c r="W26" s="36"/>
      <c r="X26" s="58"/>
      <c r="Y26" s="61"/>
      <c r="Z26" s="61"/>
      <c r="AA26" s="61"/>
      <c r="AB26" s="61"/>
      <c r="AC26" s="61"/>
      <c r="AD26" s="61"/>
      <c r="AE26" s="61"/>
      <c r="AF26" s="61"/>
    </row>
    <row r="27" ht="20.25" customHeight="1">
      <c r="B27" s="12">
        <v>7.0</v>
      </c>
      <c r="C27" s="55" t="s">
        <v>75</v>
      </c>
      <c r="D27" s="75"/>
      <c r="E27" s="75"/>
      <c r="F27" s="76"/>
      <c r="G27" s="76"/>
      <c r="H27" s="55"/>
      <c r="I27" s="55"/>
      <c r="J27" s="55"/>
      <c r="K27" s="55"/>
      <c r="L27" s="76"/>
      <c r="M27" s="76"/>
      <c r="N27" s="76"/>
      <c r="O27" s="76"/>
      <c r="P27" s="76"/>
      <c r="Q27" s="44"/>
      <c r="R27" s="36"/>
      <c r="S27" s="36"/>
      <c r="T27" s="36"/>
      <c r="U27" s="36"/>
      <c r="V27" s="36"/>
      <c r="W27" s="36"/>
      <c r="X27" s="42"/>
    </row>
    <row r="28" ht="20.25" customHeight="1">
      <c r="B28" s="22"/>
      <c r="C28" s="37" t="s">
        <v>29</v>
      </c>
      <c r="D28" s="78"/>
      <c r="E28" s="78"/>
      <c r="F28" s="76"/>
      <c r="G28" s="76"/>
      <c r="H28" s="55"/>
      <c r="I28" s="55"/>
      <c r="J28" s="55"/>
      <c r="K28" s="55"/>
      <c r="L28" s="76"/>
      <c r="M28" s="76"/>
      <c r="N28" s="76"/>
      <c r="O28" s="76"/>
      <c r="P28" s="76"/>
      <c r="Q28" s="44"/>
      <c r="R28" s="36"/>
      <c r="S28" s="36"/>
      <c r="T28" s="36"/>
      <c r="U28" s="36"/>
      <c r="V28" s="36"/>
      <c r="W28" s="36"/>
      <c r="X28" s="42"/>
    </row>
    <row r="29" ht="20.25" customHeight="1">
      <c r="B29" s="28"/>
      <c r="C29" s="37" t="s">
        <v>30</v>
      </c>
      <c r="D29" s="77"/>
      <c r="E29" s="77"/>
      <c r="F29" s="76"/>
      <c r="G29" s="76"/>
      <c r="H29" s="55"/>
      <c r="I29" s="55"/>
      <c r="J29" s="55"/>
      <c r="K29" s="55"/>
      <c r="L29" s="76"/>
      <c r="M29" s="76"/>
      <c r="N29" s="76"/>
      <c r="O29" s="76"/>
      <c r="P29" s="76"/>
      <c r="Q29" s="44"/>
      <c r="R29" s="36"/>
      <c r="S29" s="36"/>
      <c r="T29" s="36"/>
      <c r="U29" s="36"/>
      <c r="V29" s="36"/>
      <c r="W29" s="36"/>
      <c r="X29" s="42"/>
    </row>
    <row r="30" ht="22.5" customHeight="1">
      <c r="B30" s="12">
        <v>8.0</v>
      </c>
      <c r="C30" s="30" t="s">
        <v>55</v>
      </c>
      <c r="D30" s="45">
        <v>45936.0</v>
      </c>
      <c r="E30" s="63">
        <v>45940.0</v>
      </c>
      <c r="F30" s="45">
        <v>45943.0</v>
      </c>
      <c r="G30" s="45">
        <v>45947.0</v>
      </c>
      <c r="H30" s="79">
        <v>45950.0</v>
      </c>
      <c r="I30" s="80">
        <v>45954.0</v>
      </c>
      <c r="J30" s="79">
        <v>45957.0</v>
      </c>
      <c r="K30" s="79">
        <v>45961.0</v>
      </c>
      <c r="L30" s="45"/>
      <c r="M30" s="45"/>
      <c r="N30" s="45"/>
      <c r="O30" s="45"/>
      <c r="P30" s="45"/>
      <c r="Q30" s="36"/>
      <c r="R30" s="36"/>
      <c r="S30" s="36"/>
      <c r="T30" s="36"/>
      <c r="U30" s="36"/>
      <c r="V30" s="36"/>
      <c r="W30" s="36"/>
      <c r="X30" s="42"/>
      <c r="Y30" s="21"/>
      <c r="Z30" s="21"/>
      <c r="AA30" s="21"/>
      <c r="AB30" s="21"/>
      <c r="AC30" s="21"/>
      <c r="AD30" s="21"/>
      <c r="AE30" s="21"/>
      <c r="AF30" s="21"/>
    </row>
    <row r="31" ht="22.5" customHeight="1">
      <c r="B31" s="22"/>
      <c r="C31" s="37" t="s">
        <v>29</v>
      </c>
      <c r="D31" s="43">
        <v>2.0</v>
      </c>
      <c r="E31" s="43">
        <v>0.0</v>
      </c>
      <c r="F31" s="43">
        <v>2.0</v>
      </c>
      <c r="G31" s="43">
        <v>2.0</v>
      </c>
      <c r="H31" s="43">
        <v>2.0</v>
      </c>
      <c r="I31" s="43">
        <v>0.0</v>
      </c>
      <c r="J31" s="43">
        <v>2.0</v>
      </c>
      <c r="K31" s="43">
        <v>2.0</v>
      </c>
      <c r="L31" s="64"/>
      <c r="M31" s="64"/>
      <c r="N31" s="34"/>
      <c r="O31" s="34"/>
      <c r="P31" s="36"/>
      <c r="Q31" s="36"/>
      <c r="R31" s="36"/>
      <c r="S31" s="36"/>
      <c r="T31" s="36"/>
      <c r="U31" s="36"/>
      <c r="V31" s="36"/>
      <c r="W31" s="41">
        <v>12.0</v>
      </c>
      <c r="X31" s="42">
        <f>W31*30000</f>
        <v>360000</v>
      </c>
      <c r="Y31" s="21"/>
      <c r="Z31" s="21"/>
      <c r="AA31" s="21"/>
      <c r="AB31" s="21"/>
      <c r="AC31" s="21"/>
      <c r="AD31" s="21"/>
      <c r="AE31" s="21"/>
      <c r="AF31" s="21"/>
    </row>
    <row r="32" ht="29.25" customHeight="1">
      <c r="B32" s="28"/>
      <c r="C32" s="37" t="s">
        <v>30</v>
      </c>
      <c r="D32" s="44"/>
      <c r="E32" s="44" t="s">
        <v>36</v>
      </c>
      <c r="F32" s="44"/>
      <c r="G32" s="44"/>
      <c r="H32" s="44"/>
      <c r="I32" s="44" t="s">
        <v>35</v>
      </c>
      <c r="J32" s="39"/>
      <c r="K32" s="39"/>
      <c r="L32" s="39"/>
      <c r="M32" s="39"/>
      <c r="N32" s="40"/>
      <c r="O32" s="40"/>
      <c r="P32" s="36"/>
      <c r="Q32" s="36"/>
      <c r="R32" s="36"/>
      <c r="S32" s="36"/>
      <c r="T32" s="36"/>
      <c r="U32" s="36"/>
      <c r="V32" s="36"/>
      <c r="W32" s="36"/>
      <c r="X32" s="42"/>
    </row>
    <row r="33" ht="21.75" customHeight="1">
      <c r="A33" s="1"/>
      <c r="B33" s="12">
        <v>9.0</v>
      </c>
      <c r="C33" s="54" t="s">
        <v>45</v>
      </c>
      <c r="D33" s="63">
        <v>45936.0</v>
      </c>
      <c r="E33" s="45">
        <v>45943.0</v>
      </c>
      <c r="F33" s="45">
        <v>45950.0</v>
      </c>
      <c r="G33" s="45">
        <v>45957.0</v>
      </c>
      <c r="H33" s="44"/>
      <c r="I33" s="44"/>
      <c r="J33" s="39"/>
      <c r="K33" s="39"/>
      <c r="L33" s="39"/>
      <c r="M33" s="39"/>
      <c r="N33" s="40"/>
      <c r="O33" s="40"/>
      <c r="P33" s="36"/>
      <c r="Q33" s="36"/>
      <c r="R33" s="36"/>
      <c r="S33" s="36"/>
      <c r="T33" s="36"/>
      <c r="U33" s="36"/>
      <c r="V33" s="36"/>
      <c r="W33" s="36"/>
      <c r="X33" s="42"/>
    </row>
    <row r="34" ht="21.75" customHeight="1">
      <c r="A34" s="1"/>
      <c r="B34" s="22"/>
      <c r="C34" s="37" t="s">
        <v>29</v>
      </c>
      <c r="D34" s="66">
        <v>0.0</v>
      </c>
      <c r="E34" s="44">
        <v>2.0</v>
      </c>
      <c r="F34" s="44">
        <v>2.0</v>
      </c>
      <c r="G34" s="44">
        <v>2.0</v>
      </c>
      <c r="H34" s="44"/>
      <c r="I34" s="44"/>
      <c r="J34" s="39"/>
      <c r="K34" s="39"/>
      <c r="L34" s="39"/>
      <c r="M34" s="39"/>
      <c r="N34" s="40"/>
      <c r="O34" s="40"/>
      <c r="P34" s="36"/>
      <c r="Q34" s="36"/>
      <c r="R34" s="36"/>
      <c r="S34" s="36"/>
      <c r="T34" s="36"/>
      <c r="U34" s="36"/>
      <c r="V34" s="36"/>
      <c r="W34" s="41">
        <v>6.0</v>
      </c>
      <c r="X34" s="42">
        <f>W34*30000</f>
        <v>180000</v>
      </c>
    </row>
    <row r="35" ht="29.25" customHeight="1">
      <c r="A35" s="1"/>
      <c r="B35" s="28"/>
      <c r="C35" s="37" t="s">
        <v>30</v>
      </c>
      <c r="D35" s="44" t="s">
        <v>68</v>
      </c>
      <c r="E35" s="44" t="s">
        <v>82</v>
      </c>
      <c r="F35" s="44"/>
      <c r="G35" s="44"/>
      <c r="H35" s="44"/>
      <c r="I35" s="44"/>
      <c r="J35" s="39"/>
      <c r="K35" s="39"/>
      <c r="L35" s="39"/>
      <c r="M35" s="39"/>
      <c r="N35" s="40"/>
      <c r="O35" s="40"/>
      <c r="P35" s="36"/>
      <c r="Q35" s="36"/>
      <c r="R35" s="36"/>
      <c r="S35" s="36"/>
      <c r="T35" s="36"/>
      <c r="U35" s="36"/>
      <c r="V35" s="36"/>
      <c r="W35" s="36"/>
      <c r="X35" s="42"/>
    </row>
    <row r="36" ht="21.75" customHeight="1">
      <c r="A36" s="1"/>
      <c r="B36" s="12">
        <v>10.0</v>
      </c>
      <c r="C36" s="54" t="s">
        <v>43</v>
      </c>
      <c r="D36" s="45">
        <v>45932.0</v>
      </c>
      <c r="E36" s="45">
        <v>45946.0</v>
      </c>
      <c r="F36" s="45">
        <v>45953.0</v>
      </c>
      <c r="G36" s="45">
        <v>45960.0</v>
      </c>
      <c r="H36" s="50"/>
      <c r="I36" s="44"/>
      <c r="J36" s="39"/>
      <c r="K36" s="39"/>
      <c r="L36" s="39"/>
      <c r="M36" s="39"/>
      <c r="N36" s="40"/>
      <c r="O36" s="40"/>
      <c r="P36" s="36"/>
      <c r="Q36" s="36"/>
      <c r="R36" s="36"/>
      <c r="S36" s="36"/>
      <c r="T36" s="36"/>
      <c r="U36" s="36"/>
      <c r="V36" s="36"/>
      <c r="W36" s="36"/>
      <c r="X36" s="42"/>
    </row>
    <row r="37" ht="21.75" customHeight="1">
      <c r="A37" s="1"/>
      <c r="B37" s="22"/>
      <c r="C37" s="37" t="s">
        <v>29</v>
      </c>
      <c r="D37" s="38">
        <v>1.0</v>
      </c>
      <c r="E37" s="44">
        <v>1.0</v>
      </c>
      <c r="F37" s="44">
        <v>1.0</v>
      </c>
      <c r="G37" s="44">
        <v>1.0</v>
      </c>
      <c r="H37" s="44"/>
      <c r="I37" s="44"/>
      <c r="J37" s="39"/>
      <c r="K37" s="39"/>
      <c r="L37" s="39"/>
      <c r="M37" s="39"/>
      <c r="N37" s="40"/>
      <c r="O37" s="40"/>
      <c r="P37" s="36"/>
      <c r="Q37" s="36"/>
      <c r="R37" s="36"/>
      <c r="S37" s="36"/>
      <c r="T37" s="36"/>
      <c r="U37" s="36"/>
      <c r="V37" s="36"/>
      <c r="W37" s="41">
        <v>4.0</v>
      </c>
      <c r="X37" s="42">
        <f>W37*30000</f>
        <v>120000</v>
      </c>
    </row>
    <row r="38" ht="32.25" customHeight="1">
      <c r="A38" s="1"/>
      <c r="B38" s="28"/>
      <c r="C38" s="37" t="s">
        <v>30</v>
      </c>
      <c r="D38" s="44"/>
      <c r="E38" s="44"/>
      <c r="F38" s="44"/>
      <c r="G38" s="44"/>
      <c r="H38" s="44"/>
      <c r="I38" s="44"/>
      <c r="J38" s="39"/>
      <c r="K38" s="39"/>
      <c r="L38" s="39"/>
      <c r="M38" s="39"/>
      <c r="N38" s="40"/>
      <c r="O38" s="40"/>
      <c r="P38" s="36"/>
      <c r="Q38" s="36"/>
      <c r="R38" s="36"/>
      <c r="S38" s="36"/>
      <c r="T38" s="36"/>
      <c r="U38" s="36"/>
      <c r="V38" s="36"/>
      <c r="W38" s="36"/>
      <c r="X38" s="42"/>
    </row>
    <row r="39" ht="27.0" customHeight="1">
      <c r="A39" s="1"/>
      <c r="B39" s="12">
        <v>11.0</v>
      </c>
      <c r="C39" s="54" t="s">
        <v>87</v>
      </c>
      <c r="D39" s="45">
        <v>45952.0</v>
      </c>
      <c r="E39" s="50"/>
      <c r="F39" s="50"/>
      <c r="G39" s="50"/>
      <c r="H39" s="44"/>
      <c r="I39" s="44"/>
      <c r="J39" s="39"/>
      <c r="K39" s="39"/>
      <c r="L39" s="39"/>
      <c r="M39" s="39"/>
      <c r="N39" s="40"/>
      <c r="O39" s="40"/>
      <c r="P39" s="36"/>
      <c r="Q39" s="36"/>
      <c r="R39" s="36"/>
      <c r="S39" s="36"/>
      <c r="T39" s="36"/>
      <c r="U39" s="36"/>
      <c r="V39" s="36"/>
      <c r="W39" s="36"/>
      <c r="X39" s="42"/>
    </row>
    <row r="40" ht="32.25" customHeight="1">
      <c r="A40" s="1"/>
      <c r="B40" s="22"/>
      <c r="C40" s="37" t="s">
        <v>29</v>
      </c>
      <c r="D40" s="38">
        <v>1.0</v>
      </c>
      <c r="E40" s="44"/>
      <c r="F40" s="44"/>
      <c r="G40" s="44"/>
      <c r="H40" s="44"/>
      <c r="I40" s="44"/>
      <c r="J40" s="39"/>
      <c r="K40" s="39"/>
      <c r="L40" s="39"/>
      <c r="M40" s="39"/>
      <c r="N40" s="40"/>
      <c r="O40" s="40"/>
      <c r="P40" s="36"/>
      <c r="Q40" s="36"/>
      <c r="R40" s="36"/>
      <c r="S40" s="36"/>
      <c r="T40" s="36"/>
      <c r="U40" s="36"/>
      <c r="V40" s="36"/>
      <c r="W40" s="41">
        <v>1.0</v>
      </c>
      <c r="X40" s="42">
        <f>W40*45000</f>
        <v>45000</v>
      </c>
    </row>
    <row r="41" ht="32.25" customHeight="1">
      <c r="A41" s="1"/>
      <c r="B41" s="28"/>
      <c r="C41" s="37" t="s">
        <v>30</v>
      </c>
      <c r="D41" s="44" t="s">
        <v>88</v>
      </c>
      <c r="E41" s="44"/>
      <c r="F41" s="44"/>
      <c r="G41" s="44"/>
      <c r="H41" s="44"/>
      <c r="I41" s="44"/>
      <c r="J41" s="39"/>
      <c r="K41" s="39"/>
      <c r="L41" s="39"/>
      <c r="M41" s="39"/>
      <c r="N41" s="40"/>
      <c r="O41" s="40"/>
      <c r="P41" s="36"/>
      <c r="Q41" s="36"/>
      <c r="R41" s="36"/>
      <c r="S41" s="36"/>
      <c r="T41" s="36"/>
      <c r="U41" s="36"/>
      <c r="V41" s="36"/>
      <c r="W41" s="36"/>
      <c r="X41" s="42"/>
    </row>
    <row r="42">
      <c r="A42" s="1"/>
      <c r="B42" s="30" t="s">
        <v>46</v>
      </c>
      <c r="C42" s="6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6"/>
      <c r="T42" s="39"/>
      <c r="U42" s="39"/>
      <c r="V42" s="39"/>
      <c r="W42" s="39"/>
      <c r="X42" s="73">
        <f>SUM(X10:X41)</f>
        <v>2555000</v>
      </c>
    </row>
    <row r="43">
      <c r="A43" s="1"/>
      <c r="B43" s="30" t="s">
        <v>47</v>
      </c>
      <c r="C43" s="6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  <c r="T43" s="39"/>
      <c r="U43" s="39"/>
      <c r="V43" s="39"/>
      <c r="W43" s="39"/>
      <c r="X43" s="68">
        <f>X42-(X42*0.033)</f>
        <v>2470685</v>
      </c>
    </row>
    <row r="44">
      <c r="B44" s="40"/>
      <c r="C44" s="48"/>
      <c r="D44" s="40"/>
      <c r="E44" s="40"/>
      <c r="F44" s="40"/>
      <c r="G44" s="40"/>
      <c r="H44" s="48"/>
      <c r="I44" s="48"/>
      <c r="J44" s="48"/>
      <c r="K44" s="48"/>
      <c r="L44" s="40"/>
      <c r="M44" s="40"/>
      <c r="N44" s="40"/>
      <c r="O44" s="40"/>
      <c r="P44" s="69"/>
      <c r="Q44" s="69"/>
      <c r="R44" s="69"/>
      <c r="S44" s="69"/>
      <c r="T44" s="69"/>
      <c r="U44" s="69"/>
      <c r="V44" s="69"/>
      <c r="W44" s="69"/>
      <c r="X44" s="40"/>
    </row>
    <row r="45">
      <c r="C45" s="61"/>
      <c r="H45" s="61"/>
      <c r="I45" s="61"/>
      <c r="J45" s="61"/>
      <c r="K45" s="61"/>
    </row>
    <row r="46">
      <c r="C46" s="61"/>
      <c r="H46" s="61"/>
      <c r="I46" s="61"/>
      <c r="J46" s="61"/>
      <c r="K46" s="61"/>
    </row>
    <row r="47">
      <c r="C47" s="61"/>
      <c r="H47" s="61"/>
      <c r="I47" s="61"/>
      <c r="J47" s="61"/>
      <c r="K47" s="61"/>
    </row>
    <row r="48">
      <c r="C48" s="61"/>
      <c r="H48" s="61"/>
      <c r="I48" s="61"/>
      <c r="J48" s="61"/>
      <c r="K48" s="61"/>
    </row>
    <row r="49">
      <c r="C49" s="61"/>
      <c r="H49" s="61"/>
      <c r="I49" s="61"/>
      <c r="J49" s="61"/>
      <c r="K49" s="61"/>
    </row>
    <row r="50">
      <c r="C50" s="61"/>
      <c r="H50" s="61"/>
      <c r="I50" s="61"/>
      <c r="J50" s="61"/>
      <c r="K50" s="61"/>
    </row>
    <row r="51">
      <c r="C51" s="61"/>
      <c r="H51" s="61"/>
      <c r="I51" s="61"/>
      <c r="J51" s="61"/>
      <c r="K51" s="61"/>
    </row>
    <row r="52">
      <c r="C52" s="61"/>
      <c r="H52" s="61"/>
      <c r="I52" s="61"/>
      <c r="J52" s="61"/>
      <c r="K52" s="61"/>
    </row>
    <row r="53">
      <c r="C53" s="61"/>
      <c r="H53" s="61"/>
      <c r="I53" s="61"/>
      <c r="J53" s="61"/>
      <c r="K53" s="61"/>
    </row>
    <row r="54">
      <c r="C54" s="61"/>
      <c r="H54" s="61"/>
      <c r="I54" s="61"/>
      <c r="J54" s="61"/>
      <c r="K54" s="61"/>
    </row>
    <row r="55">
      <c r="C55" s="61"/>
      <c r="H55" s="61"/>
      <c r="I55" s="61"/>
      <c r="J55" s="61"/>
      <c r="K55" s="61"/>
    </row>
    <row r="56">
      <c r="C56" s="61"/>
      <c r="H56" s="61"/>
      <c r="I56" s="61"/>
      <c r="J56" s="61"/>
      <c r="K56" s="61"/>
    </row>
    <row r="57">
      <c r="C57" s="61"/>
      <c r="H57" s="61"/>
      <c r="I57" s="61"/>
      <c r="J57" s="61"/>
      <c r="K57" s="61"/>
    </row>
    <row r="58">
      <c r="C58" s="61"/>
      <c r="H58" s="61"/>
      <c r="I58" s="61"/>
      <c r="J58" s="61"/>
      <c r="K58" s="61"/>
    </row>
    <row r="59">
      <c r="C59" s="61"/>
      <c r="H59" s="61"/>
      <c r="I59" s="61"/>
      <c r="J59" s="61"/>
      <c r="K59" s="61"/>
    </row>
    <row r="60">
      <c r="C60" s="61"/>
      <c r="H60" s="61"/>
      <c r="I60" s="61"/>
      <c r="J60" s="61"/>
      <c r="K60" s="61"/>
    </row>
    <row r="61">
      <c r="C61" s="61"/>
      <c r="H61" s="61"/>
      <c r="I61" s="61"/>
      <c r="J61" s="61"/>
      <c r="K61" s="61"/>
    </row>
    <row r="62">
      <c r="C62" s="61"/>
      <c r="H62" s="61"/>
      <c r="I62" s="61"/>
      <c r="J62" s="61"/>
      <c r="K62" s="61"/>
    </row>
    <row r="63">
      <c r="C63" s="61"/>
      <c r="H63" s="61"/>
      <c r="I63" s="61"/>
      <c r="J63" s="61"/>
      <c r="K63" s="61"/>
    </row>
    <row r="64">
      <c r="C64" s="61"/>
      <c r="H64" s="61"/>
      <c r="I64" s="61"/>
      <c r="J64" s="61"/>
      <c r="K64" s="61"/>
    </row>
    <row r="65">
      <c r="C65" s="61"/>
      <c r="H65" s="61"/>
      <c r="I65" s="61"/>
      <c r="J65" s="61"/>
      <c r="K65" s="61"/>
    </row>
    <row r="66">
      <c r="C66" s="61"/>
      <c r="H66" s="61"/>
      <c r="I66" s="61"/>
      <c r="J66" s="61"/>
      <c r="K66" s="61"/>
    </row>
    <row r="67">
      <c r="C67" s="61"/>
      <c r="H67" s="61"/>
      <c r="I67" s="61"/>
      <c r="J67" s="61"/>
      <c r="K67" s="61"/>
    </row>
    <row r="68">
      <c r="C68" s="61"/>
      <c r="H68" s="61"/>
      <c r="I68" s="61"/>
      <c r="J68" s="61"/>
      <c r="K68" s="61"/>
    </row>
    <row r="69">
      <c r="C69" s="61"/>
      <c r="H69" s="61"/>
      <c r="I69" s="61"/>
      <c r="J69" s="61"/>
      <c r="K69" s="61"/>
    </row>
    <row r="70">
      <c r="C70" s="61"/>
      <c r="H70" s="61"/>
      <c r="I70" s="61"/>
      <c r="J70" s="61"/>
      <c r="K70" s="61"/>
    </row>
    <row r="71">
      <c r="C71" s="61"/>
      <c r="H71" s="61"/>
      <c r="I71" s="61"/>
      <c r="J71" s="61"/>
      <c r="K71" s="61"/>
    </row>
    <row r="72">
      <c r="C72" s="61"/>
      <c r="H72" s="61"/>
      <c r="I72" s="61"/>
      <c r="J72" s="61"/>
      <c r="K72" s="61"/>
    </row>
    <row r="73">
      <c r="C73" s="61"/>
      <c r="H73" s="61"/>
      <c r="I73" s="61"/>
      <c r="J73" s="61"/>
      <c r="K73" s="61"/>
    </row>
    <row r="74">
      <c r="C74" s="61"/>
      <c r="H74" s="61"/>
      <c r="I74" s="61"/>
      <c r="J74" s="61"/>
      <c r="K74" s="61"/>
    </row>
    <row r="75">
      <c r="C75" s="61"/>
      <c r="H75" s="61"/>
      <c r="I75" s="61"/>
      <c r="J75" s="61"/>
      <c r="K75" s="61"/>
    </row>
    <row r="76">
      <c r="C76" s="61"/>
      <c r="H76" s="61"/>
      <c r="I76" s="61"/>
      <c r="J76" s="61"/>
      <c r="K76" s="61"/>
    </row>
    <row r="77">
      <c r="C77" s="61"/>
      <c r="H77" s="61"/>
      <c r="I77" s="61"/>
      <c r="J77" s="61"/>
      <c r="K77" s="61"/>
    </row>
    <row r="78">
      <c r="C78" s="61"/>
      <c r="H78" s="61"/>
      <c r="I78" s="61"/>
      <c r="J78" s="61"/>
      <c r="K78" s="61"/>
    </row>
    <row r="79">
      <c r="C79" s="61"/>
      <c r="H79" s="61"/>
      <c r="I79" s="61"/>
      <c r="J79" s="61"/>
      <c r="K79" s="61"/>
    </row>
    <row r="80">
      <c r="C80" s="61"/>
      <c r="H80" s="61"/>
      <c r="I80" s="61"/>
      <c r="J80" s="61"/>
      <c r="K80" s="61"/>
    </row>
    <row r="81">
      <c r="C81" s="61"/>
      <c r="H81" s="61"/>
      <c r="I81" s="61"/>
      <c r="J81" s="61"/>
      <c r="K81" s="61"/>
    </row>
    <row r="82">
      <c r="C82" s="61"/>
      <c r="H82" s="61"/>
      <c r="I82" s="61"/>
      <c r="J82" s="61"/>
      <c r="K82" s="61"/>
    </row>
    <row r="83">
      <c r="C83" s="61"/>
      <c r="H83" s="61"/>
      <c r="I83" s="61"/>
      <c r="J83" s="61"/>
      <c r="K83" s="61"/>
    </row>
    <row r="84">
      <c r="C84" s="61"/>
      <c r="H84" s="61"/>
      <c r="I84" s="61"/>
      <c r="J84" s="61"/>
      <c r="K84" s="61"/>
    </row>
    <row r="85">
      <c r="C85" s="61"/>
      <c r="H85" s="61"/>
      <c r="I85" s="61"/>
      <c r="J85" s="61"/>
      <c r="K85" s="61"/>
    </row>
    <row r="86">
      <c r="C86" s="61"/>
      <c r="H86" s="61"/>
      <c r="I86" s="61"/>
      <c r="J86" s="61"/>
      <c r="K86" s="61"/>
    </row>
    <row r="87">
      <c r="C87" s="61"/>
      <c r="H87" s="61"/>
      <c r="I87" s="61"/>
      <c r="J87" s="61"/>
      <c r="K87" s="61"/>
    </row>
    <row r="88">
      <c r="C88" s="61"/>
      <c r="H88" s="61"/>
      <c r="I88" s="61"/>
      <c r="J88" s="61"/>
      <c r="K88" s="61"/>
    </row>
    <row r="89">
      <c r="C89" s="61"/>
      <c r="H89" s="61"/>
      <c r="I89" s="61"/>
      <c r="J89" s="61"/>
      <c r="K89" s="61"/>
    </row>
    <row r="90">
      <c r="C90" s="61"/>
      <c r="H90" s="61"/>
      <c r="I90" s="61"/>
      <c r="J90" s="61"/>
      <c r="K90" s="61"/>
    </row>
    <row r="91">
      <c r="C91" s="61"/>
      <c r="H91" s="61"/>
      <c r="I91" s="61"/>
      <c r="J91" s="61"/>
      <c r="K91" s="61"/>
    </row>
    <row r="92">
      <c r="C92" s="61"/>
      <c r="H92" s="61"/>
      <c r="I92" s="61"/>
      <c r="J92" s="61"/>
      <c r="K92" s="61"/>
    </row>
    <row r="93">
      <c r="C93" s="61"/>
      <c r="H93" s="61"/>
      <c r="I93" s="61"/>
      <c r="J93" s="61"/>
      <c r="K93" s="61"/>
    </row>
    <row r="94">
      <c r="C94" s="61"/>
      <c r="H94" s="61"/>
      <c r="I94" s="61"/>
      <c r="J94" s="61"/>
      <c r="K94" s="61"/>
    </row>
    <row r="95">
      <c r="C95" s="61"/>
      <c r="H95" s="61"/>
      <c r="I95" s="61"/>
      <c r="J95" s="61"/>
      <c r="K95" s="61"/>
    </row>
    <row r="96">
      <c r="C96" s="61"/>
      <c r="H96" s="61"/>
      <c r="I96" s="61"/>
      <c r="J96" s="61"/>
      <c r="K96" s="61"/>
    </row>
    <row r="97">
      <c r="C97" s="61"/>
      <c r="H97" s="61"/>
      <c r="I97" s="61"/>
      <c r="J97" s="61"/>
      <c r="K97" s="61"/>
    </row>
    <row r="98">
      <c r="C98" s="61"/>
      <c r="H98" s="61"/>
      <c r="I98" s="61"/>
      <c r="J98" s="61"/>
      <c r="K98" s="61"/>
    </row>
    <row r="99">
      <c r="C99" s="61"/>
      <c r="H99" s="61"/>
      <c r="I99" s="61"/>
      <c r="J99" s="61"/>
      <c r="K99" s="61"/>
    </row>
    <row r="100">
      <c r="C100" s="61"/>
      <c r="H100" s="61"/>
      <c r="I100" s="61"/>
      <c r="J100" s="61"/>
      <c r="K100" s="61"/>
    </row>
    <row r="101">
      <c r="C101" s="61"/>
      <c r="H101" s="61"/>
      <c r="I101" s="61"/>
      <c r="J101" s="61"/>
      <c r="K101" s="61"/>
    </row>
    <row r="102">
      <c r="C102" s="61"/>
      <c r="H102" s="61"/>
      <c r="I102" s="61"/>
      <c r="J102" s="61"/>
      <c r="K102" s="61"/>
    </row>
    <row r="103">
      <c r="C103" s="61"/>
      <c r="H103" s="61"/>
      <c r="I103" s="61"/>
      <c r="J103" s="61"/>
      <c r="K103" s="61"/>
    </row>
    <row r="104">
      <c r="C104" s="61"/>
      <c r="H104" s="61"/>
      <c r="I104" s="61"/>
      <c r="J104" s="61"/>
      <c r="K104" s="61"/>
    </row>
    <row r="105">
      <c r="C105" s="61"/>
      <c r="H105" s="61"/>
      <c r="I105" s="61"/>
      <c r="J105" s="61"/>
      <c r="K105" s="61"/>
    </row>
    <row r="106">
      <c r="C106" s="61"/>
      <c r="H106" s="61"/>
      <c r="I106" s="61"/>
      <c r="J106" s="61"/>
      <c r="K106" s="61"/>
    </row>
    <row r="107">
      <c r="C107" s="61"/>
      <c r="H107" s="61"/>
      <c r="I107" s="61"/>
      <c r="J107" s="61"/>
      <c r="K107" s="61"/>
    </row>
    <row r="108">
      <c r="C108" s="61"/>
      <c r="H108" s="61"/>
      <c r="I108" s="61"/>
      <c r="J108" s="61"/>
      <c r="K108" s="61"/>
    </row>
    <row r="109">
      <c r="C109" s="61"/>
      <c r="H109" s="61"/>
      <c r="I109" s="61"/>
      <c r="J109" s="61"/>
      <c r="K109" s="61"/>
    </row>
    <row r="110">
      <c r="C110" s="61"/>
      <c r="H110" s="61"/>
      <c r="I110" s="61"/>
      <c r="J110" s="61"/>
      <c r="K110" s="61"/>
    </row>
    <row r="111">
      <c r="C111" s="61"/>
      <c r="H111" s="61"/>
      <c r="I111" s="61"/>
      <c r="J111" s="61"/>
      <c r="K111" s="61"/>
    </row>
    <row r="112">
      <c r="C112" s="61"/>
      <c r="H112" s="61"/>
      <c r="I112" s="61"/>
      <c r="J112" s="61"/>
      <c r="K112" s="61"/>
    </row>
    <row r="113">
      <c r="C113" s="61"/>
      <c r="H113" s="61"/>
      <c r="I113" s="61"/>
      <c r="J113" s="61"/>
      <c r="K113" s="61"/>
    </row>
    <row r="114">
      <c r="C114" s="61"/>
      <c r="H114" s="61"/>
      <c r="I114" s="61"/>
      <c r="J114" s="61"/>
      <c r="K114" s="61"/>
    </row>
    <row r="115">
      <c r="C115" s="61"/>
      <c r="H115" s="61"/>
      <c r="I115" s="61"/>
      <c r="J115" s="61"/>
      <c r="K115" s="61"/>
    </row>
    <row r="116">
      <c r="C116" s="61"/>
      <c r="H116" s="61"/>
      <c r="I116" s="61"/>
      <c r="J116" s="61"/>
      <c r="K116" s="61"/>
    </row>
    <row r="117">
      <c r="C117" s="61"/>
      <c r="H117" s="61"/>
      <c r="I117" s="61"/>
      <c r="J117" s="61"/>
      <c r="K117" s="61"/>
    </row>
    <row r="118">
      <c r="C118" s="61"/>
      <c r="H118" s="61"/>
      <c r="I118" s="61"/>
      <c r="J118" s="61"/>
      <c r="K118" s="61"/>
    </row>
    <row r="119">
      <c r="C119" s="61"/>
      <c r="H119" s="61"/>
      <c r="I119" s="61"/>
      <c r="J119" s="61"/>
      <c r="K119" s="61"/>
    </row>
    <row r="120">
      <c r="C120" s="61"/>
      <c r="H120" s="61"/>
      <c r="I120" s="61"/>
      <c r="J120" s="61"/>
      <c r="K120" s="61"/>
    </row>
    <row r="121">
      <c r="C121" s="61"/>
      <c r="H121" s="61"/>
      <c r="I121" s="61"/>
      <c r="J121" s="61"/>
      <c r="K121" s="61"/>
    </row>
    <row r="122">
      <c r="C122" s="61"/>
      <c r="H122" s="61"/>
      <c r="I122" s="61"/>
      <c r="J122" s="61"/>
      <c r="K122" s="61"/>
    </row>
    <row r="123">
      <c r="C123" s="61"/>
      <c r="H123" s="61"/>
      <c r="I123" s="61"/>
      <c r="J123" s="61"/>
      <c r="K123" s="61"/>
    </row>
    <row r="124">
      <c r="C124" s="61"/>
      <c r="H124" s="61"/>
      <c r="I124" s="61"/>
      <c r="J124" s="61"/>
      <c r="K124" s="61"/>
    </row>
    <row r="125">
      <c r="C125" s="61"/>
      <c r="H125" s="61"/>
      <c r="I125" s="61"/>
      <c r="J125" s="61"/>
      <c r="K125" s="61"/>
    </row>
    <row r="126">
      <c r="C126" s="61"/>
      <c r="H126" s="61"/>
      <c r="I126" s="61"/>
      <c r="J126" s="61"/>
      <c r="K126" s="61"/>
    </row>
    <row r="127">
      <c r="C127" s="61"/>
      <c r="H127" s="61"/>
      <c r="I127" s="61"/>
      <c r="J127" s="61"/>
      <c r="K127" s="61"/>
    </row>
    <row r="128">
      <c r="C128" s="61"/>
      <c r="H128" s="61"/>
      <c r="I128" s="61"/>
      <c r="J128" s="61"/>
      <c r="K128" s="61"/>
    </row>
    <row r="129">
      <c r="C129" s="61"/>
      <c r="H129" s="61"/>
      <c r="I129" s="61"/>
      <c r="J129" s="61"/>
      <c r="K129" s="61"/>
    </row>
    <row r="130">
      <c r="C130" s="61"/>
      <c r="H130" s="61"/>
      <c r="I130" s="61"/>
      <c r="J130" s="61"/>
      <c r="K130" s="61"/>
    </row>
    <row r="131">
      <c r="C131" s="61"/>
      <c r="H131" s="61"/>
      <c r="I131" s="61"/>
      <c r="J131" s="61"/>
      <c r="K131" s="61"/>
    </row>
    <row r="132">
      <c r="C132" s="61"/>
      <c r="H132" s="61"/>
      <c r="I132" s="61"/>
      <c r="J132" s="61"/>
      <c r="K132" s="61"/>
    </row>
    <row r="133">
      <c r="C133" s="61"/>
      <c r="H133" s="61"/>
      <c r="I133" s="61"/>
      <c r="J133" s="61"/>
      <c r="K133" s="61"/>
    </row>
    <row r="134">
      <c r="C134" s="61"/>
      <c r="H134" s="61"/>
      <c r="I134" s="61"/>
      <c r="J134" s="61"/>
      <c r="K134" s="61"/>
    </row>
    <row r="135">
      <c r="C135" s="61"/>
      <c r="H135" s="61"/>
      <c r="I135" s="61"/>
      <c r="J135" s="61"/>
      <c r="K135" s="61"/>
    </row>
    <row r="136">
      <c r="C136" s="61"/>
      <c r="H136" s="61"/>
      <c r="I136" s="61"/>
      <c r="J136" s="61"/>
      <c r="K136" s="61"/>
    </row>
    <row r="137">
      <c r="C137" s="61"/>
      <c r="H137" s="61"/>
      <c r="I137" s="61"/>
      <c r="J137" s="61"/>
      <c r="K137" s="61"/>
    </row>
    <row r="138">
      <c r="C138" s="61"/>
      <c r="H138" s="61"/>
      <c r="I138" s="61"/>
      <c r="J138" s="61"/>
      <c r="K138" s="61"/>
    </row>
    <row r="139">
      <c r="C139" s="61"/>
      <c r="H139" s="61"/>
      <c r="I139" s="61"/>
      <c r="J139" s="61"/>
      <c r="K139" s="61"/>
    </row>
    <row r="140">
      <c r="C140" s="61"/>
      <c r="H140" s="61"/>
      <c r="I140" s="61"/>
      <c r="J140" s="61"/>
      <c r="K140" s="61"/>
    </row>
    <row r="141">
      <c r="C141" s="61"/>
      <c r="H141" s="61"/>
      <c r="I141" s="61"/>
      <c r="J141" s="61"/>
      <c r="K141" s="61"/>
    </row>
    <row r="142">
      <c r="C142" s="61"/>
      <c r="H142" s="61"/>
      <c r="I142" s="61"/>
      <c r="J142" s="61"/>
      <c r="K142" s="61"/>
    </row>
    <row r="143">
      <c r="C143" s="61"/>
      <c r="H143" s="61"/>
      <c r="I143" s="61"/>
      <c r="J143" s="61"/>
      <c r="K143" s="61"/>
    </row>
    <row r="144">
      <c r="C144" s="61"/>
      <c r="H144" s="61"/>
      <c r="I144" s="61"/>
      <c r="J144" s="61"/>
      <c r="K144" s="61"/>
    </row>
    <row r="145">
      <c r="C145" s="61"/>
      <c r="H145" s="61"/>
      <c r="I145" s="61"/>
      <c r="J145" s="61"/>
      <c r="K145" s="61"/>
    </row>
    <row r="146">
      <c r="C146" s="61"/>
      <c r="H146" s="61"/>
      <c r="I146" s="61"/>
      <c r="J146" s="61"/>
      <c r="K146" s="61"/>
    </row>
    <row r="147">
      <c r="C147" s="61"/>
      <c r="H147" s="61"/>
      <c r="I147" s="61"/>
      <c r="J147" s="61"/>
      <c r="K147" s="61"/>
    </row>
    <row r="148">
      <c r="C148" s="61"/>
      <c r="H148" s="61"/>
      <c r="I148" s="61"/>
      <c r="J148" s="61"/>
      <c r="K148" s="61"/>
    </row>
    <row r="149">
      <c r="C149" s="61"/>
      <c r="H149" s="61"/>
      <c r="I149" s="61"/>
      <c r="J149" s="61"/>
      <c r="K149" s="61"/>
    </row>
    <row r="150">
      <c r="C150" s="61"/>
      <c r="H150" s="61"/>
      <c r="I150" s="61"/>
      <c r="J150" s="61"/>
      <c r="K150" s="61"/>
    </row>
    <row r="151">
      <c r="C151" s="61"/>
      <c r="H151" s="61"/>
      <c r="I151" s="61"/>
      <c r="J151" s="61"/>
      <c r="K151" s="61"/>
    </row>
    <row r="152">
      <c r="C152" s="61"/>
      <c r="H152" s="61"/>
      <c r="I152" s="61"/>
      <c r="J152" s="61"/>
      <c r="K152" s="61"/>
    </row>
    <row r="153">
      <c r="C153" s="61"/>
      <c r="H153" s="61"/>
      <c r="I153" s="61"/>
      <c r="J153" s="61"/>
      <c r="K153" s="61"/>
    </row>
    <row r="154">
      <c r="C154" s="61"/>
      <c r="H154" s="61"/>
      <c r="I154" s="61"/>
      <c r="J154" s="61"/>
      <c r="K154" s="61"/>
    </row>
    <row r="155">
      <c r="C155" s="61"/>
      <c r="H155" s="61"/>
      <c r="I155" s="61"/>
      <c r="J155" s="61"/>
      <c r="K155" s="61"/>
    </row>
    <row r="156">
      <c r="C156" s="61"/>
      <c r="H156" s="61"/>
      <c r="I156" s="61"/>
      <c r="J156" s="61"/>
      <c r="K156" s="61"/>
    </row>
    <row r="157">
      <c r="C157" s="61"/>
      <c r="H157" s="61"/>
      <c r="I157" s="61"/>
      <c r="J157" s="61"/>
      <c r="K157" s="61"/>
    </row>
    <row r="158">
      <c r="C158" s="61"/>
      <c r="H158" s="61"/>
      <c r="I158" s="61"/>
      <c r="J158" s="61"/>
      <c r="K158" s="61"/>
    </row>
    <row r="159">
      <c r="C159" s="61"/>
      <c r="H159" s="61"/>
      <c r="I159" s="61"/>
      <c r="J159" s="61"/>
      <c r="K159" s="61"/>
    </row>
    <row r="160">
      <c r="C160" s="61"/>
      <c r="H160" s="61"/>
      <c r="I160" s="61"/>
      <c r="J160" s="61"/>
      <c r="K160" s="61"/>
    </row>
    <row r="161">
      <c r="C161" s="61"/>
      <c r="H161" s="61"/>
      <c r="I161" s="61"/>
      <c r="J161" s="61"/>
      <c r="K161" s="61"/>
    </row>
    <row r="162">
      <c r="C162" s="61"/>
      <c r="H162" s="61"/>
      <c r="I162" s="61"/>
      <c r="J162" s="61"/>
      <c r="K162" s="61"/>
    </row>
    <row r="163">
      <c r="C163" s="61"/>
      <c r="H163" s="61"/>
      <c r="I163" s="61"/>
      <c r="J163" s="61"/>
      <c r="K163" s="61"/>
    </row>
    <row r="164">
      <c r="C164" s="61"/>
      <c r="H164" s="61"/>
      <c r="I164" s="61"/>
      <c r="J164" s="61"/>
      <c r="K164" s="61"/>
    </row>
    <row r="165">
      <c r="C165" s="61"/>
      <c r="H165" s="61"/>
      <c r="I165" s="61"/>
      <c r="J165" s="61"/>
      <c r="K165" s="61"/>
    </row>
    <row r="166">
      <c r="C166" s="61"/>
      <c r="H166" s="61"/>
      <c r="I166" s="61"/>
      <c r="J166" s="61"/>
      <c r="K166" s="61"/>
    </row>
    <row r="167">
      <c r="C167" s="61"/>
      <c r="H167" s="61"/>
      <c r="I167" s="61"/>
      <c r="J167" s="61"/>
      <c r="K167" s="61"/>
    </row>
    <row r="168">
      <c r="C168" s="61"/>
      <c r="H168" s="61"/>
      <c r="I168" s="61"/>
      <c r="J168" s="61"/>
      <c r="K168" s="61"/>
    </row>
    <row r="169">
      <c r="C169" s="61"/>
      <c r="H169" s="61"/>
      <c r="I169" s="61"/>
      <c r="J169" s="61"/>
      <c r="K169" s="61"/>
    </row>
    <row r="170">
      <c r="C170" s="61"/>
      <c r="H170" s="61"/>
      <c r="I170" s="61"/>
      <c r="J170" s="61"/>
      <c r="K170" s="61"/>
    </row>
    <row r="171">
      <c r="C171" s="61"/>
      <c r="H171" s="61"/>
      <c r="I171" s="61"/>
      <c r="J171" s="61"/>
      <c r="K171" s="61"/>
    </row>
    <row r="172">
      <c r="C172" s="61"/>
      <c r="H172" s="61"/>
      <c r="I172" s="61"/>
      <c r="J172" s="61"/>
      <c r="K172" s="61"/>
    </row>
    <row r="173">
      <c r="C173" s="61"/>
      <c r="H173" s="61"/>
      <c r="I173" s="61"/>
      <c r="J173" s="61"/>
      <c r="K173" s="61"/>
    </row>
    <row r="174">
      <c r="C174" s="61"/>
      <c r="H174" s="61"/>
      <c r="I174" s="61"/>
      <c r="J174" s="61"/>
      <c r="K174" s="61"/>
    </row>
    <row r="175">
      <c r="C175" s="61"/>
      <c r="H175" s="61"/>
      <c r="I175" s="61"/>
      <c r="J175" s="61"/>
      <c r="K175" s="61"/>
    </row>
    <row r="176">
      <c r="C176" s="61"/>
      <c r="H176" s="61"/>
      <c r="I176" s="61"/>
      <c r="J176" s="61"/>
      <c r="K176" s="61"/>
    </row>
    <row r="177">
      <c r="C177" s="61"/>
      <c r="H177" s="61"/>
      <c r="I177" s="61"/>
      <c r="J177" s="61"/>
      <c r="K177" s="61"/>
    </row>
    <row r="178">
      <c r="C178" s="61"/>
      <c r="H178" s="61"/>
      <c r="I178" s="61"/>
      <c r="J178" s="61"/>
      <c r="K178" s="61"/>
    </row>
    <row r="179">
      <c r="C179" s="61"/>
      <c r="H179" s="61"/>
      <c r="I179" s="61"/>
      <c r="J179" s="61"/>
      <c r="K179" s="61"/>
    </row>
    <row r="180">
      <c r="C180" s="61"/>
      <c r="H180" s="61"/>
      <c r="I180" s="61"/>
      <c r="J180" s="61"/>
      <c r="K180" s="61"/>
    </row>
    <row r="181">
      <c r="C181" s="61"/>
      <c r="H181" s="61"/>
      <c r="I181" s="61"/>
      <c r="J181" s="61"/>
      <c r="K181" s="61"/>
    </row>
    <row r="182">
      <c r="C182" s="61"/>
      <c r="H182" s="61"/>
      <c r="I182" s="61"/>
      <c r="J182" s="61"/>
      <c r="K182" s="61"/>
    </row>
    <row r="183">
      <c r="C183" s="61"/>
      <c r="H183" s="61"/>
      <c r="I183" s="61"/>
      <c r="J183" s="61"/>
      <c r="K183" s="61"/>
    </row>
    <row r="184">
      <c r="C184" s="61"/>
      <c r="H184" s="61"/>
      <c r="I184" s="61"/>
      <c r="J184" s="61"/>
      <c r="K184" s="61"/>
    </row>
    <row r="185">
      <c r="C185" s="61"/>
      <c r="H185" s="61"/>
      <c r="I185" s="61"/>
      <c r="J185" s="61"/>
      <c r="K185" s="61"/>
    </row>
    <row r="186">
      <c r="C186" s="61"/>
      <c r="H186" s="61"/>
      <c r="I186" s="61"/>
      <c r="J186" s="61"/>
      <c r="K186" s="61"/>
    </row>
    <row r="187">
      <c r="C187" s="61"/>
      <c r="H187" s="61"/>
      <c r="I187" s="61"/>
      <c r="J187" s="61"/>
      <c r="K187" s="61"/>
    </row>
    <row r="188">
      <c r="C188" s="61"/>
      <c r="H188" s="61"/>
      <c r="I188" s="61"/>
      <c r="J188" s="61"/>
      <c r="K188" s="61"/>
    </row>
    <row r="189">
      <c r="C189" s="61"/>
      <c r="H189" s="61"/>
      <c r="I189" s="61"/>
      <c r="J189" s="61"/>
      <c r="K189" s="61"/>
    </row>
    <row r="190">
      <c r="C190" s="61"/>
      <c r="H190" s="61"/>
      <c r="I190" s="61"/>
      <c r="J190" s="61"/>
      <c r="K190" s="61"/>
    </row>
    <row r="191">
      <c r="C191" s="61"/>
      <c r="H191" s="61"/>
      <c r="I191" s="61"/>
      <c r="J191" s="61"/>
      <c r="K191" s="61"/>
    </row>
    <row r="192">
      <c r="C192" s="61"/>
      <c r="H192" s="61"/>
      <c r="I192" s="61"/>
      <c r="J192" s="61"/>
      <c r="K192" s="61"/>
    </row>
    <row r="193">
      <c r="C193" s="61"/>
      <c r="H193" s="61"/>
      <c r="I193" s="61"/>
      <c r="J193" s="61"/>
      <c r="K193" s="61"/>
    </row>
    <row r="194">
      <c r="C194" s="61"/>
      <c r="H194" s="61"/>
      <c r="I194" s="61"/>
      <c r="J194" s="61"/>
      <c r="K194" s="61"/>
    </row>
    <row r="195">
      <c r="C195" s="61"/>
      <c r="H195" s="61"/>
      <c r="I195" s="61"/>
      <c r="J195" s="61"/>
      <c r="K195" s="61"/>
    </row>
    <row r="196">
      <c r="C196" s="61"/>
      <c r="H196" s="61"/>
      <c r="I196" s="61"/>
      <c r="J196" s="61"/>
      <c r="K196" s="61"/>
    </row>
    <row r="197">
      <c r="C197" s="61"/>
      <c r="H197" s="61"/>
      <c r="I197" s="61"/>
      <c r="J197" s="61"/>
      <c r="K197" s="61"/>
    </row>
    <row r="198">
      <c r="C198" s="61"/>
      <c r="H198" s="61"/>
      <c r="I198" s="61"/>
      <c r="J198" s="61"/>
      <c r="K198" s="61"/>
    </row>
    <row r="199">
      <c r="C199" s="61"/>
      <c r="H199" s="61"/>
      <c r="I199" s="61"/>
      <c r="J199" s="61"/>
      <c r="K199" s="61"/>
    </row>
    <row r="200">
      <c r="C200" s="61"/>
      <c r="H200" s="61"/>
      <c r="I200" s="61"/>
      <c r="J200" s="61"/>
      <c r="K200" s="61"/>
    </row>
    <row r="201">
      <c r="C201" s="61"/>
      <c r="H201" s="61"/>
      <c r="I201" s="61"/>
      <c r="J201" s="61"/>
      <c r="K201" s="61"/>
    </row>
    <row r="202">
      <c r="C202" s="61"/>
      <c r="H202" s="61"/>
      <c r="I202" s="61"/>
      <c r="J202" s="61"/>
      <c r="K202" s="61"/>
    </row>
    <row r="203">
      <c r="C203" s="61"/>
      <c r="H203" s="61"/>
      <c r="I203" s="61"/>
      <c r="J203" s="61"/>
      <c r="K203" s="61"/>
    </row>
    <row r="204">
      <c r="C204" s="61"/>
      <c r="H204" s="61"/>
      <c r="I204" s="61"/>
      <c r="J204" s="61"/>
      <c r="K204" s="61"/>
    </row>
    <row r="205">
      <c r="C205" s="61"/>
      <c r="H205" s="61"/>
      <c r="I205" s="61"/>
      <c r="J205" s="61"/>
      <c r="K205" s="61"/>
    </row>
    <row r="206">
      <c r="C206" s="61"/>
      <c r="H206" s="61"/>
      <c r="I206" s="61"/>
      <c r="J206" s="61"/>
      <c r="K206" s="61"/>
    </row>
    <row r="207">
      <c r="C207" s="61"/>
      <c r="H207" s="61"/>
      <c r="I207" s="61"/>
      <c r="J207" s="61"/>
      <c r="K207" s="61"/>
    </row>
    <row r="208">
      <c r="C208" s="61"/>
      <c r="H208" s="61"/>
      <c r="I208" s="61"/>
      <c r="J208" s="61"/>
      <c r="K208" s="61"/>
    </row>
    <row r="209">
      <c r="C209" s="61"/>
      <c r="H209" s="61"/>
      <c r="I209" s="61"/>
      <c r="J209" s="61"/>
      <c r="K209" s="61"/>
    </row>
    <row r="210">
      <c r="C210" s="61"/>
      <c r="H210" s="61"/>
      <c r="I210" s="61"/>
      <c r="J210" s="61"/>
      <c r="K210" s="61"/>
    </row>
    <row r="211">
      <c r="C211" s="61"/>
      <c r="H211" s="61"/>
      <c r="I211" s="61"/>
      <c r="J211" s="61"/>
      <c r="K211" s="61"/>
    </row>
    <row r="212">
      <c r="C212" s="61"/>
      <c r="H212" s="61"/>
      <c r="I212" s="61"/>
      <c r="J212" s="61"/>
      <c r="K212" s="61"/>
    </row>
    <row r="213">
      <c r="C213" s="61"/>
      <c r="H213" s="61"/>
      <c r="I213" s="61"/>
      <c r="J213" s="61"/>
      <c r="K213" s="61"/>
    </row>
    <row r="214">
      <c r="C214" s="61"/>
      <c r="H214" s="61"/>
      <c r="I214" s="61"/>
      <c r="J214" s="61"/>
      <c r="K214" s="61"/>
    </row>
    <row r="215">
      <c r="C215" s="61"/>
      <c r="H215" s="61"/>
      <c r="I215" s="61"/>
      <c r="J215" s="61"/>
      <c r="K215" s="61"/>
    </row>
    <row r="216">
      <c r="C216" s="61"/>
      <c r="H216" s="61"/>
      <c r="I216" s="61"/>
      <c r="J216" s="61"/>
      <c r="K216" s="61"/>
    </row>
    <row r="217">
      <c r="C217" s="61"/>
      <c r="H217" s="61"/>
      <c r="I217" s="61"/>
      <c r="J217" s="61"/>
      <c r="K217" s="61"/>
    </row>
    <row r="218">
      <c r="C218" s="61"/>
      <c r="H218" s="61"/>
      <c r="I218" s="61"/>
      <c r="J218" s="61"/>
      <c r="K218" s="61"/>
    </row>
    <row r="219">
      <c r="C219" s="61"/>
      <c r="H219" s="61"/>
      <c r="I219" s="61"/>
      <c r="J219" s="61"/>
      <c r="K219" s="61"/>
    </row>
    <row r="220">
      <c r="C220" s="61"/>
      <c r="H220" s="61"/>
      <c r="I220" s="61"/>
      <c r="J220" s="61"/>
      <c r="K220" s="61"/>
    </row>
    <row r="221">
      <c r="C221" s="61"/>
      <c r="H221" s="61"/>
      <c r="I221" s="61"/>
      <c r="J221" s="61"/>
      <c r="K221" s="61"/>
    </row>
    <row r="222">
      <c r="C222" s="61"/>
      <c r="H222" s="61"/>
      <c r="I222" s="61"/>
      <c r="J222" s="61"/>
      <c r="K222" s="61"/>
    </row>
    <row r="223">
      <c r="C223" s="61"/>
      <c r="H223" s="61"/>
      <c r="I223" s="61"/>
      <c r="J223" s="61"/>
      <c r="K223" s="61"/>
    </row>
    <row r="224">
      <c r="C224" s="61"/>
      <c r="H224" s="61"/>
      <c r="I224" s="61"/>
      <c r="J224" s="61"/>
      <c r="K224" s="61"/>
    </row>
    <row r="225">
      <c r="C225" s="61"/>
      <c r="H225" s="61"/>
      <c r="I225" s="61"/>
      <c r="J225" s="61"/>
      <c r="K225" s="61"/>
    </row>
    <row r="226">
      <c r="C226" s="61"/>
      <c r="H226" s="61"/>
      <c r="I226" s="61"/>
      <c r="J226" s="61"/>
      <c r="K226" s="61"/>
    </row>
    <row r="227">
      <c r="C227" s="61"/>
      <c r="H227" s="61"/>
      <c r="I227" s="61"/>
      <c r="J227" s="61"/>
      <c r="K227" s="61"/>
    </row>
    <row r="228">
      <c r="C228" s="61"/>
      <c r="H228" s="61"/>
      <c r="I228" s="61"/>
      <c r="J228" s="61"/>
      <c r="K228" s="61"/>
    </row>
    <row r="229">
      <c r="C229" s="61"/>
      <c r="H229" s="61"/>
      <c r="I229" s="61"/>
      <c r="J229" s="61"/>
      <c r="K229" s="61"/>
    </row>
    <row r="230">
      <c r="C230" s="61"/>
      <c r="H230" s="61"/>
      <c r="I230" s="61"/>
      <c r="J230" s="61"/>
      <c r="K230" s="61"/>
    </row>
    <row r="231">
      <c r="C231" s="61"/>
      <c r="H231" s="61"/>
      <c r="I231" s="61"/>
      <c r="J231" s="61"/>
      <c r="K231" s="61"/>
    </row>
    <row r="232">
      <c r="C232" s="61"/>
      <c r="H232" s="61"/>
      <c r="I232" s="61"/>
      <c r="J232" s="61"/>
      <c r="K232" s="61"/>
    </row>
    <row r="233">
      <c r="C233" s="61"/>
      <c r="H233" s="61"/>
      <c r="I233" s="61"/>
      <c r="J233" s="61"/>
      <c r="K233" s="61"/>
    </row>
    <row r="234">
      <c r="C234" s="61"/>
      <c r="H234" s="61"/>
      <c r="I234" s="61"/>
      <c r="J234" s="61"/>
      <c r="K234" s="61"/>
    </row>
    <row r="235">
      <c r="C235" s="61"/>
      <c r="H235" s="61"/>
      <c r="I235" s="61"/>
      <c r="J235" s="61"/>
      <c r="K235" s="61"/>
    </row>
    <row r="236">
      <c r="C236" s="61"/>
      <c r="H236" s="61"/>
      <c r="I236" s="61"/>
      <c r="J236" s="61"/>
      <c r="K236" s="61"/>
    </row>
    <row r="237">
      <c r="C237" s="61"/>
      <c r="H237" s="61"/>
      <c r="I237" s="61"/>
      <c r="J237" s="61"/>
      <c r="K237" s="61"/>
    </row>
    <row r="238">
      <c r="C238" s="61"/>
      <c r="H238" s="61"/>
      <c r="I238" s="61"/>
      <c r="J238" s="61"/>
      <c r="K238" s="61"/>
    </row>
    <row r="239">
      <c r="C239" s="61"/>
      <c r="H239" s="61"/>
      <c r="I239" s="61"/>
      <c r="J239" s="61"/>
      <c r="K239" s="61"/>
    </row>
    <row r="240">
      <c r="C240" s="61"/>
      <c r="H240" s="61"/>
      <c r="I240" s="61"/>
      <c r="J240" s="61"/>
      <c r="K240" s="61"/>
    </row>
    <row r="241">
      <c r="C241" s="61"/>
      <c r="H241" s="61"/>
      <c r="I241" s="61"/>
      <c r="J241" s="61"/>
      <c r="K241" s="61"/>
    </row>
    <row r="242">
      <c r="C242" s="61"/>
      <c r="H242" s="61"/>
      <c r="I242" s="61"/>
      <c r="J242" s="61"/>
      <c r="K242" s="61"/>
    </row>
    <row r="243">
      <c r="C243" s="61"/>
      <c r="H243" s="61"/>
      <c r="I243" s="61"/>
      <c r="J243" s="61"/>
      <c r="K243" s="61"/>
    </row>
    <row r="244">
      <c r="C244" s="61"/>
      <c r="H244" s="61"/>
      <c r="I244" s="61"/>
      <c r="J244" s="61"/>
      <c r="K244" s="61"/>
    </row>
    <row r="245">
      <c r="C245" s="61"/>
      <c r="H245" s="61"/>
      <c r="I245" s="61"/>
      <c r="J245" s="61"/>
      <c r="K245" s="61"/>
    </row>
    <row r="246">
      <c r="C246" s="61"/>
      <c r="H246" s="61"/>
      <c r="I246" s="61"/>
      <c r="J246" s="61"/>
      <c r="K246" s="61"/>
    </row>
    <row r="247">
      <c r="C247" s="61"/>
      <c r="H247" s="61"/>
      <c r="I247" s="61"/>
      <c r="J247" s="61"/>
      <c r="K247" s="61"/>
    </row>
    <row r="248">
      <c r="C248" s="61"/>
      <c r="H248" s="61"/>
      <c r="I248" s="61"/>
      <c r="J248" s="61"/>
      <c r="K248" s="61"/>
    </row>
    <row r="249">
      <c r="C249" s="61"/>
      <c r="H249" s="61"/>
      <c r="I249" s="61"/>
      <c r="J249" s="61"/>
      <c r="K249" s="61"/>
    </row>
    <row r="250">
      <c r="C250" s="61"/>
      <c r="H250" s="61"/>
      <c r="I250" s="61"/>
      <c r="J250" s="61"/>
      <c r="K250" s="61"/>
    </row>
    <row r="251">
      <c r="C251" s="61"/>
      <c r="H251" s="61"/>
      <c r="I251" s="61"/>
      <c r="J251" s="61"/>
      <c r="K251" s="61"/>
    </row>
    <row r="252">
      <c r="C252" s="61"/>
      <c r="H252" s="61"/>
      <c r="I252" s="61"/>
      <c r="J252" s="61"/>
      <c r="K252" s="61"/>
    </row>
    <row r="253">
      <c r="C253" s="61"/>
      <c r="H253" s="61"/>
      <c r="I253" s="61"/>
      <c r="J253" s="61"/>
      <c r="K253" s="61"/>
    </row>
    <row r="254">
      <c r="C254" s="61"/>
      <c r="H254" s="61"/>
      <c r="I254" s="61"/>
      <c r="J254" s="61"/>
      <c r="K254" s="61"/>
    </row>
    <row r="255">
      <c r="C255" s="61"/>
      <c r="H255" s="61"/>
      <c r="I255" s="61"/>
      <c r="J255" s="61"/>
      <c r="K255" s="61"/>
    </row>
    <row r="256">
      <c r="C256" s="61"/>
      <c r="H256" s="61"/>
      <c r="I256" s="61"/>
      <c r="J256" s="61"/>
      <c r="K256" s="61"/>
    </row>
    <row r="257">
      <c r="C257" s="61"/>
      <c r="H257" s="61"/>
      <c r="I257" s="61"/>
      <c r="J257" s="61"/>
      <c r="K257" s="61"/>
    </row>
    <row r="258">
      <c r="C258" s="61"/>
      <c r="H258" s="61"/>
      <c r="I258" s="61"/>
      <c r="J258" s="61"/>
      <c r="K258" s="61"/>
    </row>
    <row r="259">
      <c r="C259" s="61"/>
      <c r="H259" s="61"/>
      <c r="I259" s="61"/>
      <c r="J259" s="61"/>
      <c r="K259" s="61"/>
    </row>
    <row r="260">
      <c r="C260" s="61"/>
      <c r="H260" s="61"/>
      <c r="I260" s="61"/>
      <c r="J260" s="61"/>
      <c r="K260" s="61"/>
    </row>
    <row r="261">
      <c r="C261" s="61"/>
      <c r="H261" s="61"/>
      <c r="I261" s="61"/>
      <c r="J261" s="61"/>
      <c r="K261" s="61"/>
    </row>
    <row r="262">
      <c r="C262" s="61"/>
      <c r="H262" s="61"/>
      <c r="I262" s="61"/>
      <c r="J262" s="61"/>
      <c r="K262" s="61"/>
    </row>
    <row r="263">
      <c r="C263" s="61"/>
      <c r="H263" s="61"/>
      <c r="I263" s="61"/>
      <c r="J263" s="61"/>
      <c r="K263" s="61"/>
    </row>
    <row r="264">
      <c r="C264" s="61"/>
      <c r="H264" s="61"/>
      <c r="I264" s="61"/>
      <c r="J264" s="61"/>
      <c r="K264" s="61"/>
    </row>
    <row r="265">
      <c r="C265" s="61"/>
      <c r="H265" s="61"/>
      <c r="I265" s="61"/>
      <c r="J265" s="61"/>
      <c r="K265" s="61"/>
    </row>
    <row r="266">
      <c r="C266" s="61"/>
      <c r="H266" s="61"/>
      <c r="I266" s="61"/>
      <c r="J266" s="61"/>
      <c r="K266" s="61"/>
    </row>
    <row r="267">
      <c r="C267" s="61"/>
      <c r="H267" s="61"/>
      <c r="I267" s="61"/>
      <c r="J267" s="61"/>
      <c r="K267" s="61"/>
    </row>
    <row r="268">
      <c r="C268" s="61"/>
      <c r="H268" s="61"/>
      <c r="I268" s="61"/>
      <c r="J268" s="61"/>
      <c r="K268" s="61"/>
    </row>
    <row r="269">
      <c r="C269" s="61"/>
      <c r="H269" s="61"/>
      <c r="I269" s="61"/>
      <c r="J269" s="61"/>
      <c r="K269" s="61"/>
    </row>
    <row r="270">
      <c r="C270" s="61"/>
      <c r="H270" s="61"/>
      <c r="I270" s="61"/>
      <c r="J270" s="61"/>
      <c r="K270" s="61"/>
    </row>
    <row r="271">
      <c r="C271" s="61"/>
      <c r="H271" s="61"/>
      <c r="I271" s="61"/>
      <c r="J271" s="61"/>
      <c r="K271" s="61"/>
    </row>
    <row r="272">
      <c r="C272" s="61"/>
      <c r="H272" s="61"/>
      <c r="I272" s="61"/>
      <c r="J272" s="61"/>
      <c r="K272" s="61"/>
    </row>
    <row r="273">
      <c r="C273" s="61"/>
      <c r="H273" s="61"/>
      <c r="I273" s="61"/>
      <c r="J273" s="61"/>
      <c r="K273" s="61"/>
    </row>
    <row r="274">
      <c r="C274" s="61"/>
      <c r="H274" s="61"/>
      <c r="I274" s="61"/>
      <c r="J274" s="61"/>
      <c r="K274" s="61"/>
    </row>
    <row r="275">
      <c r="C275" s="61"/>
      <c r="H275" s="61"/>
      <c r="I275" s="61"/>
      <c r="J275" s="61"/>
      <c r="K275" s="61"/>
    </row>
    <row r="276">
      <c r="C276" s="61"/>
      <c r="H276" s="61"/>
      <c r="I276" s="61"/>
      <c r="J276" s="61"/>
      <c r="K276" s="61"/>
    </row>
    <row r="277">
      <c r="C277" s="61"/>
      <c r="H277" s="61"/>
      <c r="I277" s="61"/>
      <c r="J277" s="61"/>
      <c r="K277" s="61"/>
    </row>
    <row r="278">
      <c r="C278" s="61"/>
      <c r="H278" s="61"/>
      <c r="I278" s="61"/>
      <c r="J278" s="61"/>
      <c r="K278" s="61"/>
    </row>
    <row r="279">
      <c r="C279" s="61"/>
      <c r="H279" s="61"/>
      <c r="I279" s="61"/>
      <c r="J279" s="61"/>
      <c r="K279" s="61"/>
    </row>
    <row r="280">
      <c r="C280" s="61"/>
      <c r="H280" s="61"/>
      <c r="I280" s="61"/>
      <c r="J280" s="61"/>
      <c r="K280" s="61"/>
    </row>
    <row r="281">
      <c r="C281" s="61"/>
      <c r="H281" s="61"/>
      <c r="I281" s="61"/>
      <c r="J281" s="61"/>
      <c r="K281" s="61"/>
    </row>
    <row r="282">
      <c r="C282" s="61"/>
      <c r="H282" s="61"/>
      <c r="I282" s="61"/>
      <c r="J282" s="61"/>
      <c r="K282" s="61"/>
    </row>
    <row r="283">
      <c r="C283" s="61"/>
      <c r="H283" s="61"/>
      <c r="I283" s="61"/>
      <c r="J283" s="61"/>
      <c r="K283" s="61"/>
    </row>
    <row r="284">
      <c r="C284" s="61"/>
      <c r="H284" s="61"/>
      <c r="I284" s="61"/>
      <c r="J284" s="61"/>
      <c r="K284" s="61"/>
    </row>
    <row r="285">
      <c r="C285" s="61"/>
      <c r="H285" s="61"/>
      <c r="I285" s="61"/>
      <c r="J285" s="61"/>
      <c r="K285" s="61"/>
    </row>
    <row r="286">
      <c r="C286" s="61"/>
      <c r="H286" s="61"/>
      <c r="I286" s="61"/>
      <c r="J286" s="61"/>
      <c r="K286" s="61"/>
    </row>
    <row r="287">
      <c r="C287" s="61"/>
      <c r="H287" s="61"/>
      <c r="I287" s="61"/>
      <c r="J287" s="61"/>
      <c r="K287" s="61"/>
    </row>
    <row r="288">
      <c r="C288" s="61"/>
      <c r="H288" s="61"/>
      <c r="I288" s="61"/>
      <c r="J288" s="61"/>
      <c r="K288" s="61"/>
    </row>
    <row r="289">
      <c r="C289" s="61"/>
      <c r="H289" s="61"/>
      <c r="I289" s="61"/>
      <c r="J289" s="61"/>
      <c r="K289" s="61"/>
    </row>
    <row r="290">
      <c r="C290" s="61"/>
      <c r="H290" s="61"/>
      <c r="I290" s="61"/>
      <c r="J290" s="61"/>
      <c r="K290" s="61"/>
    </row>
    <row r="291">
      <c r="C291" s="61"/>
      <c r="H291" s="61"/>
      <c r="I291" s="61"/>
      <c r="J291" s="61"/>
      <c r="K291" s="61"/>
    </row>
    <row r="292">
      <c r="C292" s="61"/>
      <c r="H292" s="61"/>
      <c r="I292" s="61"/>
      <c r="J292" s="61"/>
      <c r="K292" s="61"/>
    </row>
    <row r="293">
      <c r="C293" s="61"/>
      <c r="H293" s="61"/>
      <c r="I293" s="61"/>
      <c r="J293" s="61"/>
      <c r="K293" s="61"/>
    </row>
    <row r="294">
      <c r="C294" s="61"/>
      <c r="H294" s="61"/>
      <c r="I294" s="61"/>
      <c r="J294" s="61"/>
      <c r="K294" s="61"/>
    </row>
    <row r="295">
      <c r="C295" s="61"/>
      <c r="H295" s="61"/>
      <c r="I295" s="61"/>
      <c r="J295" s="61"/>
      <c r="K295" s="61"/>
    </row>
    <row r="296">
      <c r="C296" s="61"/>
      <c r="H296" s="61"/>
      <c r="I296" s="61"/>
      <c r="J296" s="61"/>
      <c r="K296" s="61"/>
    </row>
    <row r="297">
      <c r="C297" s="61"/>
      <c r="H297" s="61"/>
      <c r="I297" s="61"/>
      <c r="J297" s="61"/>
      <c r="K297" s="61"/>
    </row>
    <row r="298">
      <c r="C298" s="61"/>
      <c r="H298" s="61"/>
      <c r="I298" s="61"/>
      <c r="J298" s="61"/>
      <c r="K298" s="61"/>
    </row>
    <row r="299">
      <c r="C299" s="61"/>
      <c r="H299" s="61"/>
      <c r="I299" s="61"/>
      <c r="J299" s="61"/>
      <c r="K299" s="61"/>
    </row>
    <row r="300">
      <c r="C300" s="61"/>
      <c r="H300" s="61"/>
      <c r="I300" s="61"/>
      <c r="J300" s="61"/>
      <c r="K300" s="61"/>
    </row>
    <row r="301">
      <c r="C301" s="61"/>
      <c r="H301" s="61"/>
      <c r="I301" s="61"/>
      <c r="J301" s="61"/>
      <c r="K301" s="61"/>
    </row>
    <row r="302">
      <c r="C302" s="61"/>
      <c r="H302" s="61"/>
      <c r="I302" s="61"/>
      <c r="J302" s="61"/>
      <c r="K302" s="61"/>
    </row>
    <row r="303">
      <c r="C303" s="61"/>
      <c r="H303" s="61"/>
      <c r="I303" s="61"/>
      <c r="J303" s="61"/>
      <c r="K303" s="61"/>
    </row>
    <row r="304">
      <c r="C304" s="61"/>
      <c r="H304" s="61"/>
      <c r="I304" s="61"/>
      <c r="J304" s="61"/>
      <c r="K304" s="61"/>
    </row>
    <row r="305">
      <c r="C305" s="61"/>
      <c r="H305" s="61"/>
      <c r="I305" s="61"/>
      <c r="J305" s="61"/>
      <c r="K305" s="61"/>
    </row>
    <row r="306">
      <c r="C306" s="61"/>
      <c r="H306" s="61"/>
      <c r="I306" s="61"/>
      <c r="J306" s="61"/>
      <c r="K306" s="61"/>
    </row>
    <row r="307">
      <c r="C307" s="61"/>
      <c r="H307" s="61"/>
      <c r="I307" s="61"/>
      <c r="J307" s="61"/>
      <c r="K307" s="61"/>
    </row>
    <row r="308">
      <c r="C308" s="61"/>
      <c r="H308" s="61"/>
      <c r="I308" s="61"/>
      <c r="J308" s="61"/>
      <c r="K308" s="61"/>
    </row>
    <row r="309">
      <c r="C309" s="61"/>
      <c r="H309" s="61"/>
      <c r="I309" s="61"/>
      <c r="J309" s="61"/>
      <c r="K309" s="61"/>
    </row>
    <row r="310">
      <c r="C310" s="61"/>
      <c r="H310" s="61"/>
      <c r="I310" s="61"/>
      <c r="J310" s="61"/>
      <c r="K310" s="61"/>
    </row>
    <row r="311">
      <c r="C311" s="61"/>
      <c r="H311" s="61"/>
      <c r="I311" s="61"/>
      <c r="J311" s="61"/>
      <c r="K311" s="61"/>
    </row>
    <row r="312">
      <c r="C312" s="61"/>
      <c r="H312" s="61"/>
      <c r="I312" s="61"/>
      <c r="J312" s="61"/>
      <c r="K312" s="61"/>
    </row>
    <row r="313">
      <c r="C313" s="61"/>
      <c r="H313" s="61"/>
      <c r="I313" s="61"/>
      <c r="J313" s="61"/>
      <c r="K313" s="61"/>
    </row>
    <row r="314">
      <c r="C314" s="61"/>
      <c r="H314" s="61"/>
      <c r="I314" s="61"/>
      <c r="J314" s="61"/>
      <c r="K314" s="61"/>
    </row>
    <row r="315">
      <c r="C315" s="61"/>
      <c r="H315" s="61"/>
      <c r="I315" s="61"/>
      <c r="J315" s="61"/>
      <c r="K315" s="61"/>
    </row>
    <row r="316">
      <c r="C316" s="61"/>
      <c r="H316" s="61"/>
      <c r="I316" s="61"/>
      <c r="J316" s="61"/>
      <c r="K316" s="61"/>
    </row>
    <row r="317">
      <c r="C317" s="61"/>
      <c r="H317" s="61"/>
      <c r="I317" s="61"/>
      <c r="J317" s="61"/>
      <c r="K317" s="61"/>
    </row>
    <row r="318">
      <c r="C318" s="61"/>
      <c r="H318" s="61"/>
      <c r="I318" s="61"/>
      <c r="J318" s="61"/>
      <c r="K318" s="61"/>
    </row>
    <row r="319">
      <c r="C319" s="61"/>
      <c r="H319" s="61"/>
      <c r="I319" s="61"/>
      <c r="J319" s="61"/>
      <c r="K319" s="61"/>
    </row>
    <row r="320">
      <c r="C320" s="61"/>
      <c r="H320" s="61"/>
      <c r="I320" s="61"/>
      <c r="J320" s="61"/>
      <c r="K320" s="61"/>
    </row>
    <row r="321">
      <c r="C321" s="61"/>
      <c r="H321" s="61"/>
      <c r="I321" s="61"/>
      <c r="J321" s="61"/>
      <c r="K321" s="61"/>
    </row>
    <row r="322">
      <c r="C322" s="61"/>
      <c r="H322" s="61"/>
      <c r="I322" s="61"/>
      <c r="J322" s="61"/>
      <c r="K322" s="61"/>
    </row>
    <row r="323">
      <c r="C323" s="61"/>
      <c r="H323" s="61"/>
      <c r="I323" s="61"/>
      <c r="J323" s="61"/>
      <c r="K323" s="61"/>
    </row>
    <row r="324">
      <c r="C324" s="61"/>
      <c r="H324" s="61"/>
      <c r="I324" s="61"/>
      <c r="J324" s="61"/>
      <c r="K324" s="61"/>
    </row>
    <row r="325">
      <c r="C325" s="61"/>
      <c r="H325" s="61"/>
      <c r="I325" s="61"/>
      <c r="J325" s="61"/>
      <c r="K325" s="61"/>
    </row>
    <row r="326">
      <c r="C326" s="61"/>
      <c r="H326" s="61"/>
      <c r="I326" s="61"/>
      <c r="J326" s="61"/>
      <c r="K326" s="61"/>
    </row>
    <row r="327">
      <c r="C327" s="61"/>
      <c r="H327" s="61"/>
      <c r="I327" s="61"/>
      <c r="J327" s="61"/>
      <c r="K327" s="61"/>
    </row>
    <row r="328">
      <c r="C328" s="61"/>
      <c r="H328" s="61"/>
      <c r="I328" s="61"/>
      <c r="J328" s="61"/>
      <c r="K328" s="61"/>
    </row>
    <row r="329">
      <c r="C329" s="61"/>
      <c r="H329" s="61"/>
      <c r="I329" s="61"/>
      <c r="J329" s="61"/>
      <c r="K329" s="61"/>
    </row>
    <row r="330">
      <c r="C330" s="61"/>
      <c r="H330" s="61"/>
      <c r="I330" s="61"/>
      <c r="J330" s="61"/>
      <c r="K330" s="61"/>
    </row>
    <row r="331">
      <c r="C331" s="61"/>
      <c r="H331" s="61"/>
      <c r="I331" s="61"/>
      <c r="J331" s="61"/>
      <c r="K331" s="61"/>
    </row>
    <row r="332">
      <c r="C332" s="61"/>
      <c r="H332" s="61"/>
      <c r="I332" s="61"/>
      <c r="J332" s="61"/>
      <c r="K332" s="61"/>
    </row>
    <row r="333">
      <c r="C333" s="61"/>
      <c r="H333" s="61"/>
      <c r="I333" s="61"/>
      <c r="J333" s="61"/>
      <c r="K333" s="61"/>
    </row>
    <row r="334">
      <c r="C334" s="61"/>
      <c r="H334" s="61"/>
      <c r="I334" s="61"/>
      <c r="J334" s="61"/>
      <c r="K334" s="61"/>
    </row>
    <row r="335">
      <c r="C335" s="61"/>
      <c r="H335" s="61"/>
      <c r="I335" s="61"/>
      <c r="J335" s="61"/>
      <c r="K335" s="61"/>
    </row>
    <row r="336">
      <c r="C336" s="61"/>
      <c r="H336" s="61"/>
      <c r="I336" s="61"/>
      <c r="J336" s="61"/>
      <c r="K336" s="61"/>
    </row>
    <row r="337">
      <c r="C337" s="61"/>
      <c r="H337" s="61"/>
      <c r="I337" s="61"/>
      <c r="J337" s="61"/>
      <c r="K337" s="61"/>
    </row>
    <row r="338">
      <c r="C338" s="61"/>
      <c r="H338" s="61"/>
      <c r="I338" s="61"/>
      <c r="J338" s="61"/>
      <c r="K338" s="61"/>
    </row>
    <row r="339">
      <c r="C339" s="61"/>
      <c r="H339" s="61"/>
      <c r="I339" s="61"/>
      <c r="J339" s="61"/>
      <c r="K339" s="61"/>
    </row>
    <row r="340">
      <c r="C340" s="61"/>
      <c r="H340" s="61"/>
      <c r="I340" s="61"/>
      <c r="J340" s="61"/>
      <c r="K340" s="61"/>
    </row>
    <row r="341">
      <c r="C341" s="61"/>
      <c r="H341" s="61"/>
      <c r="I341" s="61"/>
      <c r="J341" s="61"/>
      <c r="K341" s="61"/>
    </row>
    <row r="342">
      <c r="C342" s="61"/>
      <c r="H342" s="61"/>
      <c r="I342" s="61"/>
      <c r="J342" s="61"/>
      <c r="K342" s="61"/>
    </row>
    <row r="343">
      <c r="C343" s="61"/>
      <c r="H343" s="61"/>
      <c r="I343" s="61"/>
      <c r="J343" s="61"/>
      <c r="K343" s="61"/>
    </row>
    <row r="344">
      <c r="C344" s="61"/>
      <c r="H344" s="61"/>
      <c r="I344" s="61"/>
      <c r="J344" s="61"/>
      <c r="K344" s="61"/>
    </row>
    <row r="345">
      <c r="C345" s="61"/>
      <c r="H345" s="61"/>
      <c r="I345" s="61"/>
      <c r="J345" s="61"/>
      <c r="K345" s="61"/>
    </row>
    <row r="346">
      <c r="C346" s="61"/>
      <c r="H346" s="61"/>
      <c r="I346" s="61"/>
      <c r="J346" s="61"/>
      <c r="K346" s="61"/>
    </row>
    <row r="347">
      <c r="C347" s="61"/>
      <c r="H347" s="61"/>
      <c r="I347" s="61"/>
      <c r="J347" s="61"/>
      <c r="K347" s="61"/>
    </row>
    <row r="348">
      <c r="C348" s="61"/>
      <c r="H348" s="61"/>
      <c r="I348" s="61"/>
      <c r="J348" s="61"/>
      <c r="K348" s="61"/>
    </row>
    <row r="349">
      <c r="C349" s="61"/>
      <c r="H349" s="61"/>
      <c r="I349" s="61"/>
      <c r="J349" s="61"/>
      <c r="K349" s="61"/>
    </row>
    <row r="350">
      <c r="C350" s="61"/>
      <c r="H350" s="61"/>
      <c r="I350" s="61"/>
      <c r="J350" s="61"/>
      <c r="K350" s="61"/>
    </row>
    <row r="351">
      <c r="C351" s="61"/>
      <c r="H351" s="61"/>
      <c r="I351" s="61"/>
      <c r="J351" s="61"/>
      <c r="K351" s="61"/>
    </row>
    <row r="352">
      <c r="C352" s="61"/>
      <c r="H352" s="61"/>
      <c r="I352" s="61"/>
      <c r="J352" s="61"/>
      <c r="K352" s="61"/>
    </row>
    <row r="353">
      <c r="C353" s="61"/>
      <c r="H353" s="61"/>
      <c r="I353" s="61"/>
      <c r="J353" s="61"/>
      <c r="K353" s="61"/>
    </row>
    <row r="354">
      <c r="C354" s="61"/>
      <c r="H354" s="61"/>
      <c r="I354" s="61"/>
      <c r="J354" s="61"/>
      <c r="K354" s="61"/>
    </row>
    <row r="355">
      <c r="C355" s="61"/>
      <c r="H355" s="61"/>
      <c r="I355" s="61"/>
      <c r="J355" s="61"/>
      <c r="K355" s="61"/>
    </row>
    <row r="356">
      <c r="C356" s="61"/>
      <c r="H356" s="61"/>
      <c r="I356" s="61"/>
      <c r="J356" s="61"/>
      <c r="K356" s="61"/>
    </row>
    <row r="357">
      <c r="C357" s="61"/>
      <c r="H357" s="61"/>
      <c r="I357" s="61"/>
      <c r="J357" s="61"/>
      <c r="K357" s="61"/>
    </row>
    <row r="358">
      <c r="C358" s="61"/>
      <c r="H358" s="61"/>
      <c r="I358" s="61"/>
      <c r="J358" s="61"/>
      <c r="K358" s="61"/>
    </row>
    <row r="359">
      <c r="C359" s="61"/>
      <c r="H359" s="61"/>
      <c r="I359" s="61"/>
      <c r="J359" s="61"/>
      <c r="K359" s="61"/>
    </row>
    <row r="360">
      <c r="C360" s="61"/>
      <c r="H360" s="61"/>
      <c r="I360" s="61"/>
      <c r="J360" s="61"/>
      <c r="K360" s="61"/>
    </row>
    <row r="361">
      <c r="C361" s="61"/>
      <c r="H361" s="61"/>
      <c r="I361" s="61"/>
      <c r="J361" s="61"/>
      <c r="K361" s="61"/>
    </row>
    <row r="362">
      <c r="C362" s="61"/>
      <c r="H362" s="61"/>
      <c r="I362" s="61"/>
      <c r="J362" s="61"/>
      <c r="K362" s="61"/>
    </row>
    <row r="363">
      <c r="C363" s="61"/>
      <c r="H363" s="61"/>
      <c r="I363" s="61"/>
      <c r="J363" s="61"/>
      <c r="K363" s="61"/>
    </row>
    <row r="364">
      <c r="C364" s="61"/>
      <c r="H364" s="61"/>
      <c r="I364" s="61"/>
      <c r="J364" s="61"/>
      <c r="K364" s="61"/>
    </row>
    <row r="365">
      <c r="C365" s="61"/>
      <c r="H365" s="61"/>
      <c r="I365" s="61"/>
      <c r="J365" s="61"/>
      <c r="K365" s="61"/>
    </row>
    <row r="366">
      <c r="C366" s="61"/>
      <c r="H366" s="61"/>
      <c r="I366" s="61"/>
      <c r="J366" s="61"/>
      <c r="K366" s="61"/>
    </row>
    <row r="367">
      <c r="C367" s="61"/>
      <c r="H367" s="61"/>
      <c r="I367" s="61"/>
      <c r="J367" s="61"/>
      <c r="K367" s="61"/>
    </row>
    <row r="368">
      <c r="C368" s="61"/>
      <c r="H368" s="61"/>
      <c r="I368" s="61"/>
      <c r="J368" s="61"/>
      <c r="K368" s="61"/>
    </row>
    <row r="369">
      <c r="C369" s="61"/>
      <c r="H369" s="61"/>
      <c r="I369" s="61"/>
      <c r="J369" s="61"/>
      <c r="K369" s="61"/>
    </row>
    <row r="370">
      <c r="C370" s="61"/>
      <c r="H370" s="61"/>
      <c r="I370" s="61"/>
      <c r="J370" s="61"/>
      <c r="K370" s="61"/>
    </row>
    <row r="371">
      <c r="C371" s="61"/>
      <c r="H371" s="61"/>
      <c r="I371" s="61"/>
      <c r="J371" s="61"/>
      <c r="K371" s="61"/>
    </row>
    <row r="372">
      <c r="C372" s="61"/>
      <c r="H372" s="61"/>
      <c r="I372" s="61"/>
      <c r="J372" s="61"/>
      <c r="K372" s="61"/>
    </row>
    <row r="373">
      <c r="C373" s="61"/>
      <c r="H373" s="61"/>
      <c r="I373" s="61"/>
      <c r="J373" s="61"/>
      <c r="K373" s="61"/>
    </row>
    <row r="374">
      <c r="C374" s="61"/>
      <c r="H374" s="61"/>
      <c r="I374" s="61"/>
      <c r="J374" s="61"/>
      <c r="K374" s="61"/>
    </row>
    <row r="375">
      <c r="C375" s="61"/>
      <c r="H375" s="61"/>
      <c r="I375" s="61"/>
      <c r="J375" s="61"/>
      <c r="K375" s="61"/>
    </row>
    <row r="376">
      <c r="C376" s="61"/>
      <c r="H376" s="61"/>
      <c r="I376" s="61"/>
      <c r="J376" s="61"/>
      <c r="K376" s="61"/>
    </row>
    <row r="377">
      <c r="C377" s="61"/>
      <c r="H377" s="61"/>
      <c r="I377" s="61"/>
      <c r="J377" s="61"/>
      <c r="K377" s="61"/>
    </row>
    <row r="378">
      <c r="C378" s="61"/>
      <c r="H378" s="61"/>
      <c r="I378" s="61"/>
      <c r="J378" s="61"/>
      <c r="K378" s="61"/>
    </row>
    <row r="379">
      <c r="C379" s="61"/>
      <c r="H379" s="61"/>
      <c r="I379" s="61"/>
      <c r="J379" s="61"/>
      <c r="K379" s="61"/>
    </row>
    <row r="380">
      <c r="C380" s="61"/>
      <c r="H380" s="61"/>
      <c r="I380" s="61"/>
      <c r="J380" s="61"/>
      <c r="K380" s="61"/>
    </row>
    <row r="381">
      <c r="C381" s="61"/>
      <c r="H381" s="61"/>
      <c r="I381" s="61"/>
      <c r="J381" s="61"/>
      <c r="K381" s="61"/>
    </row>
    <row r="382">
      <c r="C382" s="61"/>
      <c r="H382" s="61"/>
      <c r="I382" s="61"/>
      <c r="J382" s="61"/>
      <c r="K382" s="61"/>
    </row>
    <row r="383">
      <c r="C383" s="61"/>
      <c r="H383" s="61"/>
      <c r="I383" s="61"/>
      <c r="J383" s="61"/>
      <c r="K383" s="61"/>
    </row>
    <row r="384">
      <c r="C384" s="61"/>
      <c r="H384" s="61"/>
      <c r="I384" s="61"/>
      <c r="J384" s="61"/>
      <c r="K384" s="61"/>
    </row>
    <row r="385">
      <c r="C385" s="61"/>
      <c r="H385" s="61"/>
      <c r="I385" s="61"/>
      <c r="J385" s="61"/>
      <c r="K385" s="61"/>
    </row>
    <row r="386">
      <c r="C386" s="61"/>
      <c r="H386" s="61"/>
      <c r="I386" s="61"/>
      <c r="J386" s="61"/>
      <c r="K386" s="61"/>
    </row>
    <row r="387">
      <c r="C387" s="61"/>
      <c r="H387" s="61"/>
      <c r="I387" s="61"/>
      <c r="J387" s="61"/>
      <c r="K387" s="61"/>
    </row>
    <row r="388">
      <c r="C388" s="61"/>
      <c r="H388" s="61"/>
      <c r="I388" s="61"/>
      <c r="J388" s="61"/>
      <c r="K388" s="61"/>
    </row>
    <row r="389">
      <c r="C389" s="61"/>
      <c r="H389" s="61"/>
      <c r="I389" s="61"/>
      <c r="J389" s="61"/>
      <c r="K389" s="61"/>
    </row>
    <row r="390">
      <c r="C390" s="61"/>
      <c r="H390" s="61"/>
      <c r="I390" s="61"/>
      <c r="J390" s="61"/>
      <c r="K390" s="61"/>
    </row>
    <row r="391">
      <c r="C391" s="61"/>
      <c r="H391" s="61"/>
      <c r="I391" s="61"/>
      <c r="J391" s="61"/>
      <c r="K391" s="61"/>
    </row>
    <row r="392">
      <c r="C392" s="61"/>
      <c r="H392" s="61"/>
      <c r="I392" s="61"/>
      <c r="J392" s="61"/>
      <c r="K392" s="61"/>
    </row>
    <row r="393">
      <c r="C393" s="61"/>
      <c r="H393" s="61"/>
      <c r="I393" s="61"/>
      <c r="J393" s="61"/>
      <c r="K393" s="61"/>
    </row>
    <row r="394">
      <c r="C394" s="61"/>
      <c r="H394" s="61"/>
      <c r="I394" s="61"/>
      <c r="J394" s="61"/>
      <c r="K394" s="61"/>
    </row>
    <row r="395">
      <c r="C395" s="61"/>
      <c r="H395" s="61"/>
      <c r="I395" s="61"/>
      <c r="J395" s="61"/>
      <c r="K395" s="61"/>
    </row>
    <row r="396">
      <c r="C396" s="61"/>
      <c r="H396" s="61"/>
      <c r="I396" s="61"/>
      <c r="J396" s="61"/>
      <c r="K396" s="61"/>
    </row>
    <row r="397">
      <c r="C397" s="61"/>
      <c r="H397" s="61"/>
      <c r="I397" s="61"/>
      <c r="J397" s="61"/>
      <c r="K397" s="61"/>
    </row>
    <row r="398">
      <c r="C398" s="61"/>
      <c r="H398" s="61"/>
      <c r="I398" s="61"/>
      <c r="J398" s="61"/>
      <c r="K398" s="61"/>
    </row>
    <row r="399">
      <c r="C399" s="61"/>
      <c r="H399" s="61"/>
      <c r="I399" s="61"/>
      <c r="J399" s="61"/>
      <c r="K399" s="61"/>
    </row>
    <row r="400">
      <c r="C400" s="61"/>
      <c r="H400" s="61"/>
      <c r="I400" s="61"/>
      <c r="J400" s="61"/>
      <c r="K400" s="61"/>
    </row>
    <row r="401">
      <c r="C401" s="61"/>
      <c r="H401" s="61"/>
      <c r="I401" s="61"/>
      <c r="J401" s="61"/>
      <c r="K401" s="61"/>
    </row>
    <row r="402">
      <c r="C402" s="61"/>
      <c r="H402" s="61"/>
      <c r="I402" s="61"/>
      <c r="J402" s="61"/>
      <c r="K402" s="61"/>
    </row>
    <row r="403">
      <c r="C403" s="61"/>
      <c r="H403" s="61"/>
      <c r="I403" s="61"/>
      <c r="J403" s="61"/>
      <c r="K403" s="61"/>
    </row>
    <row r="404">
      <c r="C404" s="61"/>
      <c r="H404" s="61"/>
      <c r="I404" s="61"/>
      <c r="J404" s="61"/>
      <c r="K404" s="61"/>
    </row>
    <row r="405">
      <c r="C405" s="61"/>
      <c r="H405" s="61"/>
      <c r="I405" s="61"/>
      <c r="J405" s="61"/>
      <c r="K405" s="61"/>
    </row>
    <row r="406">
      <c r="C406" s="61"/>
      <c r="H406" s="61"/>
      <c r="I406" s="61"/>
      <c r="J406" s="61"/>
      <c r="K406" s="61"/>
    </row>
    <row r="407">
      <c r="C407" s="61"/>
      <c r="H407" s="61"/>
      <c r="I407" s="61"/>
      <c r="J407" s="61"/>
      <c r="K407" s="61"/>
    </row>
    <row r="408">
      <c r="C408" s="61"/>
      <c r="H408" s="61"/>
      <c r="I408" s="61"/>
      <c r="J408" s="61"/>
      <c r="K408" s="61"/>
    </row>
    <row r="409">
      <c r="C409" s="61"/>
      <c r="H409" s="61"/>
      <c r="I409" s="61"/>
      <c r="J409" s="61"/>
      <c r="K409" s="61"/>
    </row>
    <row r="410">
      <c r="C410" s="61"/>
      <c r="H410" s="61"/>
      <c r="I410" s="61"/>
      <c r="J410" s="61"/>
      <c r="K410" s="61"/>
    </row>
    <row r="411">
      <c r="C411" s="61"/>
      <c r="H411" s="61"/>
      <c r="I411" s="61"/>
      <c r="J411" s="61"/>
      <c r="K411" s="61"/>
    </row>
    <row r="412">
      <c r="C412" s="61"/>
      <c r="H412" s="61"/>
      <c r="I412" s="61"/>
      <c r="J412" s="61"/>
      <c r="K412" s="61"/>
    </row>
    <row r="413">
      <c r="C413" s="61"/>
      <c r="H413" s="61"/>
      <c r="I413" s="61"/>
      <c r="J413" s="61"/>
      <c r="K413" s="61"/>
    </row>
    <row r="414">
      <c r="C414" s="61"/>
      <c r="H414" s="61"/>
      <c r="I414" s="61"/>
      <c r="J414" s="61"/>
      <c r="K414" s="61"/>
    </row>
    <row r="415">
      <c r="C415" s="61"/>
      <c r="H415" s="61"/>
      <c r="I415" s="61"/>
      <c r="J415" s="61"/>
      <c r="K415" s="61"/>
    </row>
    <row r="416">
      <c r="C416" s="61"/>
      <c r="H416" s="61"/>
      <c r="I416" s="61"/>
      <c r="J416" s="61"/>
      <c r="K416" s="61"/>
    </row>
    <row r="417">
      <c r="C417" s="61"/>
      <c r="H417" s="61"/>
      <c r="I417" s="61"/>
      <c r="J417" s="61"/>
      <c r="K417" s="61"/>
    </row>
    <row r="418">
      <c r="C418" s="61"/>
      <c r="H418" s="61"/>
      <c r="I418" s="61"/>
      <c r="J418" s="61"/>
      <c r="K418" s="61"/>
    </row>
    <row r="419">
      <c r="C419" s="61"/>
      <c r="H419" s="61"/>
      <c r="I419" s="61"/>
      <c r="J419" s="61"/>
      <c r="K419" s="61"/>
    </row>
    <row r="420">
      <c r="C420" s="61"/>
      <c r="H420" s="61"/>
      <c r="I420" s="61"/>
      <c r="J420" s="61"/>
      <c r="K420" s="61"/>
    </row>
    <row r="421">
      <c r="C421" s="61"/>
      <c r="H421" s="61"/>
      <c r="I421" s="61"/>
      <c r="J421" s="61"/>
      <c r="K421" s="61"/>
    </row>
    <row r="422">
      <c r="C422" s="61"/>
      <c r="H422" s="61"/>
      <c r="I422" s="61"/>
      <c r="J422" s="61"/>
      <c r="K422" s="61"/>
    </row>
    <row r="423">
      <c r="C423" s="61"/>
      <c r="H423" s="61"/>
      <c r="I423" s="61"/>
      <c r="J423" s="61"/>
      <c r="K423" s="61"/>
    </row>
    <row r="424">
      <c r="C424" s="61"/>
      <c r="H424" s="61"/>
      <c r="I424" s="61"/>
      <c r="J424" s="61"/>
      <c r="K424" s="61"/>
    </row>
    <row r="425">
      <c r="C425" s="61"/>
      <c r="H425" s="61"/>
      <c r="I425" s="61"/>
      <c r="J425" s="61"/>
      <c r="K425" s="61"/>
    </row>
    <row r="426">
      <c r="C426" s="61"/>
      <c r="H426" s="61"/>
      <c r="I426" s="61"/>
      <c r="J426" s="61"/>
      <c r="K426" s="61"/>
    </row>
    <row r="427">
      <c r="C427" s="61"/>
      <c r="H427" s="61"/>
      <c r="I427" s="61"/>
      <c r="J427" s="61"/>
      <c r="K427" s="61"/>
    </row>
    <row r="428">
      <c r="C428" s="61"/>
      <c r="H428" s="61"/>
      <c r="I428" s="61"/>
      <c r="J428" s="61"/>
      <c r="K428" s="61"/>
    </row>
    <row r="429">
      <c r="C429" s="61"/>
      <c r="H429" s="61"/>
      <c r="I429" s="61"/>
      <c r="J429" s="61"/>
      <c r="K429" s="61"/>
    </row>
    <row r="430">
      <c r="C430" s="61"/>
      <c r="H430" s="61"/>
      <c r="I430" s="61"/>
      <c r="J430" s="61"/>
      <c r="K430" s="61"/>
    </row>
    <row r="431">
      <c r="C431" s="61"/>
      <c r="H431" s="61"/>
      <c r="I431" s="61"/>
      <c r="J431" s="61"/>
      <c r="K431" s="61"/>
    </row>
    <row r="432">
      <c r="C432" s="61"/>
      <c r="H432" s="61"/>
      <c r="I432" s="61"/>
      <c r="J432" s="61"/>
      <c r="K432" s="61"/>
    </row>
    <row r="433">
      <c r="C433" s="61"/>
      <c r="H433" s="61"/>
      <c r="I433" s="61"/>
      <c r="J433" s="61"/>
      <c r="K433" s="61"/>
    </row>
    <row r="434">
      <c r="C434" s="61"/>
      <c r="H434" s="61"/>
      <c r="I434" s="61"/>
      <c r="J434" s="61"/>
      <c r="K434" s="61"/>
    </row>
    <row r="435">
      <c r="C435" s="61"/>
      <c r="H435" s="61"/>
      <c r="I435" s="61"/>
      <c r="J435" s="61"/>
      <c r="K435" s="61"/>
    </row>
    <row r="436">
      <c r="C436" s="61"/>
      <c r="H436" s="61"/>
      <c r="I436" s="61"/>
      <c r="J436" s="61"/>
      <c r="K436" s="61"/>
    </row>
    <row r="437">
      <c r="C437" s="61"/>
      <c r="H437" s="61"/>
      <c r="I437" s="61"/>
      <c r="J437" s="61"/>
      <c r="K437" s="61"/>
    </row>
    <row r="438">
      <c r="C438" s="61"/>
      <c r="H438" s="61"/>
      <c r="I438" s="61"/>
      <c r="J438" s="61"/>
      <c r="K438" s="61"/>
    </row>
    <row r="439">
      <c r="C439" s="61"/>
      <c r="H439" s="61"/>
      <c r="I439" s="61"/>
      <c r="J439" s="61"/>
      <c r="K439" s="61"/>
    </row>
    <row r="440">
      <c r="C440" s="61"/>
      <c r="H440" s="61"/>
      <c r="I440" s="61"/>
      <c r="J440" s="61"/>
      <c r="K440" s="61"/>
    </row>
    <row r="441">
      <c r="C441" s="61"/>
      <c r="H441" s="61"/>
      <c r="I441" s="61"/>
      <c r="J441" s="61"/>
      <c r="K441" s="61"/>
    </row>
    <row r="442">
      <c r="C442" s="61"/>
      <c r="H442" s="61"/>
      <c r="I442" s="61"/>
      <c r="J442" s="61"/>
      <c r="K442" s="61"/>
    </row>
    <row r="443">
      <c r="C443" s="61"/>
      <c r="H443" s="61"/>
      <c r="I443" s="61"/>
      <c r="J443" s="61"/>
      <c r="K443" s="61"/>
    </row>
    <row r="444">
      <c r="C444" s="61"/>
      <c r="H444" s="61"/>
      <c r="I444" s="61"/>
      <c r="J444" s="61"/>
      <c r="K444" s="61"/>
    </row>
    <row r="445">
      <c r="C445" s="61"/>
      <c r="H445" s="61"/>
      <c r="I445" s="61"/>
      <c r="J445" s="61"/>
      <c r="K445" s="61"/>
    </row>
    <row r="446">
      <c r="C446" s="61"/>
      <c r="H446" s="61"/>
      <c r="I446" s="61"/>
      <c r="J446" s="61"/>
      <c r="K446" s="61"/>
    </row>
    <row r="447">
      <c r="C447" s="61"/>
      <c r="H447" s="61"/>
      <c r="I447" s="61"/>
      <c r="J447" s="61"/>
      <c r="K447" s="61"/>
    </row>
    <row r="448">
      <c r="C448" s="61"/>
      <c r="H448" s="61"/>
      <c r="I448" s="61"/>
      <c r="J448" s="61"/>
      <c r="K448" s="61"/>
    </row>
    <row r="449">
      <c r="C449" s="61"/>
      <c r="H449" s="61"/>
      <c r="I449" s="61"/>
      <c r="J449" s="61"/>
      <c r="K449" s="61"/>
    </row>
    <row r="450">
      <c r="C450" s="61"/>
      <c r="H450" s="61"/>
      <c r="I450" s="61"/>
      <c r="J450" s="61"/>
      <c r="K450" s="61"/>
    </row>
    <row r="451">
      <c r="C451" s="61"/>
      <c r="H451" s="61"/>
      <c r="I451" s="61"/>
      <c r="J451" s="61"/>
      <c r="K451" s="61"/>
    </row>
    <row r="452">
      <c r="C452" s="61"/>
      <c r="H452" s="61"/>
      <c r="I452" s="61"/>
      <c r="J452" s="61"/>
      <c r="K452" s="61"/>
    </row>
    <row r="453">
      <c r="C453" s="61"/>
      <c r="H453" s="61"/>
      <c r="I453" s="61"/>
      <c r="J453" s="61"/>
      <c r="K453" s="61"/>
    </row>
    <row r="454">
      <c r="C454" s="61"/>
      <c r="H454" s="61"/>
      <c r="I454" s="61"/>
      <c r="J454" s="61"/>
      <c r="K454" s="61"/>
    </row>
    <row r="455">
      <c r="C455" s="61"/>
      <c r="H455" s="61"/>
      <c r="I455" s="61"/>
      <c r="J455" s="61"/>
      <c r="K455" s="61"/>
    </row>
    <row r="456">
      <c r="C456" s="61"/>
      <c r="H456" s="61"/>
      <c r="I456" s="61"/>
      <c r="J456" s="61"/>
      <c r="K456" s="61"/>
    </row>
    <row r="457">
      <c r="C457" s="61"/>
      <c r="H457" s="61"/>
      <c r="I457" s="61"/>
      <c r="J457" s="61"/>
      <c r="K457" s="61"/>
    </row>
    <row r="458">
      <c r="C458" s="61"/>
      <c r="H458" s="61"/>
      <c r="I458" s="61"/>
      <c r="J458" s="61"/>
      <c r="K458" s="61"/>
    </row>
    <row r="459">
      <c r="C459" s="61"/>
      <c r="H459" s="61"/>
      <c r="I459" s="61"/>
      <c r="J459" s="61"/>
      <c r="K459" s="61"/>
    </row>
    <row r="460">
      <c r="C460" s="61"/>
      <c r="H460" s="61"/>
      <c r="I460" s="61"/>
      <c r="J460" s="61"/>
      <c r="K460" s="61"/>
    </row>
    <row r="461">
      <c r="C461" s="61"/>
      <c r="H461" s="61"/>
      <c r="I461" s="61"/>
      <c r="J461" s="61"/>
      <c r="K461" s="61"/>
    </row>
    <row r="462">
      <c r="C462" s="61"/>
      <c r="H462" s="61"/>
      <c r="I462" s="61"/>
      <c r="J462" s="61"/>
      <c r="K462" s="61"/>
    </row>
    <row r="463">
      <c r="C463" s="61"/>
      <c r="H463" s="61"/>
      <c r="I463" s="61"/>
      <c r="J463" s="61"/>
      <c r="K463" s="61"/>
    </row>
    <row r="464">
      <c r="C464" s="61"/>
      <c r="H464" s="61"/>
      <c r="I464" s="61"/>
      <c r="J464" s="61"/>
      <c r="K464" s="61"/>
    </row>
    <row r="465">
      <c r="C465" s="61"/>
      <c r="H465" s="61"/>
      <c r="I465" s="61"/>
      <c r="J465" s="61"/>
      <c r="K465" s="61"/>
    </row>
    <row r="466">
      <c r="C466" s="61"/>
      <c r="H466" s="61"/>
      <c r="I466" s="61"/>
      <c r="J466" s="61"/>
      <c r="K466" s="61"/>
    </row>
    <row r="467">
      <c r="C467" s="61"/>
      <c r="H467" s="61"/>
      <c r="I467" s="61"/>
      <c r="J467" s="61"/>
      <c r="K467" s="61"/>
    </row>
    <row r="468">
      <c r="C468" s="61"/>
      <c r="H468" s="61"/>
      <c r="I468" s="61"/>
      <c r="J468" s="61"/>
      <c r="K468" s="61"/>
    </row>
    <row r="469">
      <c r="C469" s="61"/>
      <c r="H469" s="61"/>
      <c r="I469" s="61"/>
      <c r="J469" s="61"/>
      <c r="K469" s="61"/>
    </row>
    <row r="470">
      <c r="C470" s="61"/>
      <c r="H470" s="61"/>
      <c r="I470" s="61"/>
      <c r="J470" s="61"/>
      <c r="K470" s="61"/>
    </row>
    <row r="471">
      <c r="C471" s="61"/>
      <c r="H471" s="61"/>
      <c r="I471" s="61"/>
      <c r="J471" s="61"/>
      <c r="K471" s="61"/>
    </row>
    <row r="472">
      <c r="C472" s="61"/>
      <c r="H472" s="61"/>
      <c r="I472" s="61"/>
      <c r="J472" s="61"/>
      <c r="K472" s="61"/>
    </row>
    <row r="473">
      <c r="C473" s="61"/>
      <c r="H473" s="61"/>
      <c r="I473" s="61"/>
      <c r="J473" s="61"/>
      <c r="K473" s="61"/>
    </row>
    <row r="474">
      <c r="C474" s="61"/>
      <c r="H474" s="61"/>
      <c r="I474" s="61"/>
      <c r="J474" s="61"/>
      <c r="K474" s="61"/>
    </row>
    <row r="475">
      <c r="C475" s="61"/>
      <c r="H475" s="61"/>
      <c r="I475" s="61"/>
      <c r="J475" s="61"/>
      <c r="K475" s="61"/>
    </row>
    <row r="476">
      <c r="C476" s="61"/>
      <c r="H476" s="61"/>
      <c r="I476" s="61"/>
      <c r="J476" s="61"/>
      <c r="K476" s="61"/>
    </row>
    <row r="477">
      <c r="C477" s="61"/>
      <c r="H477" s="61"/>
      <c r="I477" s="61"/>
      <c r="J477" s="61"/>
      <c r="K477" s="61"/>
    </row>
    <row r="478">
      <c r="C478" s="61"/>
      <c r="H478" s="61"/>
      <c r="I478" s="61"/>
      <c r="J478" s="61"/>
      <c r="K478" s="61"/>
    </row>
    <row r="479">
      <c r="C479" s="61"/>
      <c r="H479" s="61"/>
      <c r="I479" s="61"/>
      <c r="J479" s="61"/>
      <c r="K479" s="61"/>
    </row>
    <row r="480">
      <c r="C480" s="61"/>
      <c r="H480" s="61"/>
      <c r="I480" s="61"/>
      <c r="J480" s="61"/>
      <c r="K480" s="61"/>
    </row>
    <row r="481">
      <c r="C481" s="61"/>
      <c r="H481" s="61"/>
      <c r="I481" s="61"/>
      <c r="J481" s="61"/>
      <c r="K481" s="61"/>
    </row>
    <row r="482">
      <c r="C482" s="61"/>
      <c r="H482" s="61"/>
      <c r="I482" s="61"/>
      <c r="J482" s="61"/>
      <c r="K482" s="61"/>
    </row>
    <row r="483">
      <c r="C483" s="61"/>
      <c r="H483" s="61"/>
      <c r="I483" s="61"/>
      <c r="J483" s="61"/>
      <c r="K483" s="61"/>
    </row>
    <row r="484">
      <c r="C484" s="61"/>
      <c r="H484" s="61"/>
      <c r="I484" s="61"/>
      <c r="J484" s="61"/>
      <c r="K484" s="61"/>
    </row>
    <row r="485">
      <c r="C485" s="61"/>
      <c r="H485" s="61"/>
      <c r="I485" s="61"/>
      <c r="J485" s="61"/>
      <c r="K485" s="61"/>
    </row>
    <row r="486">
      <c r="C486" s="61"/>
      <c r="H486" s="61"/>
      <c r="I486" s="61"/>
      <c r="J486" s="61"/>
      <c r="K486" s="61"/>
    </row>
    <row r="487">
      <c r="C487" s="61"/>
      <c r="H487" s="61"/>
      <c r="I487" s="61"/>
      <c r="J487" s="61"/>
      <c r="K487" s="61"/>
    </row>
    <row r="488">
      <c r="C488" s="61"/>
      <c r="H488" s="61"/>
      <c r="I488" s="61"/>
      <c r="J488" s="61"/>
      <c r="K488" s="61"/>
    </row>
    <row r="489">
      <c r="C489" s="61"/>
      <c r="H489" s="61"/>
      <c r="I489" s="61"/>
      <c r="J489" s="61"/>
      <c r="K489" s="61"/>
    </row>
    <row r="490">
      <c r="C490" s="61"/>
      <c r="H490" s="61"/>
      <c r="I490" s="61"/>
      <c r="J490" s="61"/>
      <c r="K490" s="61"/>
    </row>
    <row r="491">
      <c r="C491" s="61"/>
      <c r="H491" s="61"/>
      <c r="I491" s="61"/>
      <c r="J491" s="61"/>
      <c r="K491" s="61"/>
    </row>
    <row r="492">
      <c r="C492" s="61"/>
      <c r="H492" s="61"/>
      <c r="I492" s="61"/>
      <c r="J492" s="61"/>
      <c r="K492" s="61"/>
    </row>
    <row r="493">
      <c r="C493" s="61"/>
      <c r="H493" s="61"/>
      <c r="I493" s="61"/>
      <c r="J493" s="61"/>
      <c r="K493" s="61"/>
    </row>
    <row r="494">
      <c r="C494" s="61"/>
      <c r="H494" s="61"/>
      <c r="I494" s="61"/>
      <c r="J494" s="61"/>
      <c r="K494" s="61"/>
    </row>
    <row r="495">
      <c r="C495" s="61"/>
      <c r="H495" s="61"/>
      <c r="I495" s="61"/>
      <c r="J495" s="61"/>
      <c r="K495" s="61"/>
    </row>
    <row r="496">
      <c r="C496" s="61"/>
      <c r="H496" s="61"/>
      <c r="I496" s="61"/>
      <c r="J496" s="61"/>
      <c r="K496" s="61"/>
    </row>
    <row r="497">
      <c r="C497" s="61"/>
      <c r="H497" s="61"/>
      <c r="I497" s="61"/>
      <c r="J497" s="61"/>
      <c r="K497" s="61"/>
    </row>
    <row r="498">
      <c r="C498" s="61"/>
      <c r="H498" s="61"/>
      <c r="I498" s="61"/>
      <c r="J498" s="61"/>
      <c r="K498" s="61"/>
    </row>
    <row r="499">
      <c r="C499" s="61"/>
      <c r="H499" s="61"/>
      <c r="I499" s="61"/>
      <c r="J499" s="61"/>
      <c r="K499" s="61"/>
    </row>
    <row r="500">
      <c r="C500" s="61"/>
      <c r="H500" s="61"/>
      <c r="I500" s="61"/>
      <c r="J500" s="61"/>
      <c r="K500" s="61"/>
    </row>
    <row r="501">
      <c r="C501" s="61"/>
      <c r="H501" s="61"/>
      <c r="I501" s="61"/>
      <c r="J501" s="61"/>
      <c r="K501" s="61"/>
    </row>
    <row r="502">
      <c r="C502" s="61"/>
      <c r="H502" s="61"/>
      <c r="I502" s="61"/>
      <c r="J502" s="61"/>
      <c r="K502" s="61"/>
    </row>
    <row r="503">
      <c r="C503" s="61"/>
      <c r="H503" s="61"/>
      <c r="I503" s="61"/>
      <c r="J503" s="61"/>
      <c r="K503" s="61"/>
    </row>
    <row r="504">
      <c r="C504" s="61"/>
      <c r="H504" s="61"/>
      <c r="I504" s="61"/>
      <c r="J504" s="61"/>
      <c r="K504" s="61"/>
    </row>
    <row r="505">
      <c r="C505" s="61"/>
      <c r="H505" s="61"/>
      <c r="I505" s="61"/>
      <c r="J505" s="61"/>
      <c r="K505" s="61"/>
    </row>
    <row r="506">
      <c r="C506" s="61"/>
      <c r="H506" s="61"/>
      <c r="I506" s="61"/>
      <c r="J506" s="61"/>
      <c r="K506" s="61"/>
    </row>
    <row r="507">
      <c r="C507" s="61"/>
      <c r="H507" s="61"/>
      <c r="I507" s="61"/>
      <c r="J507" s="61"/>
      <c r="K507" s="61"/>
    </row>
    <row r="508">
      <c r="C508" s="61"/>
      <c r="H508" s="61"/>
      <c r="I508" s="61"/>
      <c r="J508" s="61"/>
      <c r="K508" s="61"/>
    </row>
    <row r="509">
      <c r="C509" s="61"/>
      <c r="H509" s="61"/>
      <c r="I509" s="61"/>
      <c r="J509" s="61"/>
      <c r="K509" s="61"/>
    </row>
    <row r="510">
      <c r="C510" s="61"/>
      <c r="H510" s="61"/>
      <c r="I510" s="61"/>
      <c r="J510" s="61"/>
      <c r="K510" s="61"/>
    </row>
    <row r="511">
      <c r="C511" s="61"/>
      <c r="H511" s="61"/>
      <c r="I511" s="61"/>
      <c r="J511" s="61"/>
      <c r="K511" s="61"/>
    </row>
    <row r="512">
      <c r="C512" s="61"/>
      <c r="H512" s="61"/>
      <c r="I512" s="61"/>
      <c r="J512" s="61"/>
      <c r="K512" s="61"/>
    </row>
    <row r="513">
      <c r="C513" s="61"/>
      <c r="H513" s="61"/>
      <c r="I513" s="61"/>
      <c r="J513" s="61"/>
      <c r="K513" s="61"/>
    </row>
    <row r="514">
      <c r="C514" s="61"/>
      <c r="H514" s="61"/>
      <c r="I514" s="61"/>
      <c r="J514" s="61"/>
      <c r="K514" s="61"/>
    </row>
    <row r="515">
      <c r="C515" s="61"/>
      <c r="H515" s="61"/>
      <c r="I515" s="61"/>
      <c r="J515" s="61"/>
      <c r="K515" s="61"/>
    </row>
    <row r="516">
      <c r="C516" s="61"/>
      <c r="H516" s="61"/>
      <c r="I516" s="61"/>
      <c r="J516" s="61"/>
      <c r="K516" s="61"/>
    </row>
    <row r="517">
      <c r="C517" s="61"/>
      <c r="H517" s="61"/>
      <c r="I517" s="61"/>
      <c r="J517" s="61"/>
      <c r="K517" s="61"/>
    </row>
    <row r="518">
      <c r="C518" s="61"/>
      <c r="H518" s="61"/>
      <c r="I518" s="61"/>
      <c r="J518" s="61"/>
      <c r="K518" s="61"/>
    </row>
    <row r="519">
      <c r="C519" s="61"/>
      <c r="H519" s="61"/>
      <c r="I519" s="61"/>
      <c r="J519" s="61"/>
      <c r="K519" s="61"/>
    </row>
    <row r="520">
      <c r="C520" s="61"/>
      <c r="H520" s="61"/>
      <c r="I520" s="61"/>
      <c r="J520" s="61"/>
      <c r="K520" s="61"/>
    </row>
    <row r="521">
      <c r="C521" s="61"/>
      <c r="H521" s="61"/>
      <c r="I521" s="61"/>
      <c r="J521" s="61"/>
      <c r="K521" s="61"/>
    </row>
    <row r="522">
      <c r="C522" s="61"/>
      <c r="H522" s="61"/>
      <c r="I522" s="61"/>
      <c r="J522" s="61"/>
      <c r="K522" s="61"/>
    </row>
    <row r="523">
      <c r="C523" s="61"/>
      <c r="H523" s="61"/>
      <c r="I523" s="61"/>
      <c r="J523" s="61"/>
      <c r="K523" s="61"/>
    </row>
    <row r="524">
      <c r="C524" s="61"/>
      <c r="H524" s="61"/>
      <c r="I524" s="61"/>
      <c r="J524" s="61"/>
      <c r="K524" s="61"/>
    </row>
    <row r="525">
      <c r="C525" s="61"/>
      <c r="H525" s="61"/>
      <c r="I525" s="61"/>
      <c r="J525" s="61"/>
      <c r="K525" s="61"/>
    </row>
    <row r="526">
      <c r="C526" s="61"/>
      <c r="H526" s="61"/>
      <c r="I526" s="61"/>
      <c r="J526" s="61"/>
      <c r="K526" s="61"/>
    </row>
    <row r="527">
      <c r="C527" s="61"/>
      <c r="H527" s="61"/>
      <c r="I527" s="61"/>
      <c r="J527" s="61"/>
      <c r="K527" s="61"/>
    </row>
    <row r="528">
      <c r="C528" s="61"/>
      <c r="H528" s="61"/>
      <c r="I528" s="61"/>
      <c r="J528" s="61"/>
      <c r="K528" s="61"/>
    </row>
    <row r="529">
      <c r="C529" s="61"/>
      <c r="H529" s="61"/>
      <c r="I529" s="61"/>
      <c r="J529" s="61"/>
      <c r="K529" s="61"/>
    </row>
    <row r="530">
      <c r="C530" s="61"/>
      <c r="H530" s="61"/>
      <c r="I530" s="61"/>
      <c r="J530" s="61"/>
      <c r="K530" s="61"/>
    </row>
    <row r="531">
      <c r="C531" s="61"/>
      <c r="H531" s="61"/>
      <c r="I531" s="61"/>
      <c r="J531" s="61"/>
      <c r="K531" s="61"/>
    </row>
    <row r="532">
      <c r="C532" s="61"/>
      <c r="H532" s="61"/>
      <c r="I532" s="61"/>
      <c r="J532" s="61"/>
      <c r="K532" s="61"/>
    </row>
    <row r="533">
      <c r="C533" s="61"/>
      <c r="H533" s="61"/>
      <c r="I533" s="61"/>
      <c r="J533" s="61"/>
      <c r="K533" s="61"/>
    </row>
    <row r="534">
      <c r="C534" s="61"/>
      <c r="H534" s="61"/>
      <c r="I534" s="61"/>
      <c r="J534" s="61"/>
      <c r="K534" s="61"/>
    </row>
    <row r="535">
      <c r="C535" s="61"/>
      <c r="H535" s="61"/>
      <c r="I535" s="61"/>
      <c r="J535" s="61"/>
      <c r="K535" s="61"/>
    </row>
    <row r="536">
      <c r="C536" s="61"/>
      <c r="H536" s="61"/>
      <c r="I536" s="61"/>
      <c r="J536" s="61"/>
      <c r="K536" s="61"/>
    </row>
    <row r="537">
      <c r="C537" s="61"/>
      <c r="H537" s="61"/>
      <c r="I537" s="61"/>
      <c r="J537" s="61"/>
      <c r="K537" s="61"/>
    </row>
    <row r="538">
      <c r="C538" s="61"/>
      <c r="H538" s="61"/>
      <c r="I538" s="61"/>
      <c r="J538" s="61"/>
      <c r="K538" s="61"/>
    </row>
    <row r="539">
      <c r="C539" s="61"/>
      <c r="H539" s="61"/>
      <c r="I539" s="61"/>
      <c r="J539" s="61"/>
      <c r="K539" s="61"/>
    </row>
    <row r="540">
      <c r="C540" s="61"/>
      <c r="H540" s="61"/>
      <c r="I540" s="61"/>
      <c r="J540" s="61"/>
      <c r="K540" s="61"/>
    </row>
    <row r="541">
      <c r="C541" s="61"/>
      <c r="H541" s="61"/>
      <c r="I541" s="61"/>
      <c r="J541" s="61"/>
      <c r="K541" s="61"/>
    </row>
    <row r="542">
      <c r="C542" s="61"/>
      <c r="H542" s="61"/>
      <c r="I542" s="61"/>
      <c r="J542" s="61"/>
      <c r="K542" s="61"/>
    </row>
    <row r="543">
      <c r="C543" s="61"/>
      <c r="H543" s="61"/>
      <c r="I543" s="61"/>
      <c r="J543" s="61"/>
      <c r="K543" s="61"/>
    </row>
    <row r="544">
      <c r="C544" s="61"/>
      <c r="H544" s="61"/>
      <c r="I544" s="61"/>
      <c r="J544" s="61"/>
      <c r="K544" s="61"/>
    </row>
    <row r="545">
      <c r="C545" s="61"/>
      <c r="H545" s="61"/>
      <c r="I545" s="61"/>
      <c r="J545" s="61"/>
      <c r="K545" s="61"/>
    </row>
    <row r="546">
      <c r="C546" s="61"/>
      <c r="H546" s="61"/>
      <c r="I546" s="61"/>
      <c r="J546" s="61"/>
      <c r="K546" s="61"/>
    </row>
    <row r="547">
      <c r="C547" s="61"/>
      <c r="H547" s="61"/>
      <c r="I547" s="61"/>
      <c r="J547" s="61"/>
      <c r="K547" s="61"/>
    </row>
    <row r="548">
      <c r="C548" s="61"/>
      <c r="H548" s="61"/>
      <c r="I548" s="61"/>
      <c r="J548" s="61"/>
      <c r="K548" s="61"/>
    </row>
    <row r="549">
      <c r="C549" s="61"/>
      <c r="H549" s="61"/>
      <c r="I549" s="61"/>
      <c r="J549" s="61"/>
      <c r="K549" s="61"/>
    </row>
    <row r="550">
      <c r="C550" s="61"/>
      <c r="H550" s="61"/>
      <c r="I550" s="61"/>
      <c r="J550" s="61"/>
      <c r="K550" s="61"/>
    </row>
    <row r="551">
      <c r="C551" s="61"/>
      <c r="H551" s="61"/>
      <c r="I551" s="61"/>
      <c r="J551" s="61"/>
      <c r="K551" s="61"/>
    </row>
    <row r="552">
      <c r="C552" s="61"/>
      <c r="H552" s="61"/>
      <c r="I552" s="61"/>
      <c r="J552" s="61"/>
      <c r="K552" s="61"/>
    </row>
    <row r="553">
      <c r="C553" s="61"/>
      <c r="H553" s="61"/>
      <c r="I553" s="61"/>
      <c r="J553" s="61"/>
      <c r="K553" s="61"/>
    </row>
    <row r="554">
      <c r="C554" s="61"/>
      <c r="H554" s="61"/>
      <c r="I554" s="61"/>
      <c r="J554" s="61"/>
      <c r="K554" s="61"/>
    </row>
    <row r="555">
      <c r="C555" s="61"/>
      <c r="H555" s="61"/>
      <c r="I555" s="61"/>
      <c r="J555" s="61"/>
      <c r="K555" s="61"/>
    </row>
    <row r="556">
      <c r="C556" s="61"/>
      <c r="H556" s="61"/>
      <c r="I556" s="61"/>
      <c r="J556" s="61"/>
      <c r="K556" s="61"/>
    </row>
    <row r="557">
      <c r="C557" s="61"/>
      <c r="H557" s="61"/>
      <c r="I557" s="61"/>
      <c r="J557" s="61"/>
      <c r="K557" s="61"/>
    </row>
    <row r="558">
      <c r="C558" s="61"/>
      <c r="H558" s="61"/>
      <c r="I558" s="61"/>
      <c r="J558" s="61"/>
      <c r="K558" s="61"/>
    </row>
    <row r="559">
      <c r="C559" s="61"/>
      <c r="H559" s="61"/>
      <c r="I559" s="61"/>
      <c r="J559" s="61"/>
      <c r="K559" s="61"/>
    </row>
    <row r="560">
      <c r="C560" s="61"/>
      <c r="H560" s="61"/>
      <c r="I560" s="61"/>
      <c r="J560" s="61"/>
      <c r="K560" s="61"/>
    </row>
    <row r="561">
      <c r="C561" s="61"/>
      <c r="H561" s="61"/>
      <c r="I561" s="61"/>
      <c r="J561" s="61"/>
      <c r="K561" s="61"/>
    </row>
    <row r="562">
      <c r="C562" s="61"/>
      <c r="H562" s="61"/>
      <c r="I562" s="61"/>
      <c r="J562" s="61"/>
      <c r="K562" s="61"/>
    </row>
    <row r="563">
      <c r="C563" s="61"/>
      <c r="H563" s="61"/>
      <c r="I563" s="61"/>
      <c r="J563" s="61"/>
      <c r="K563" s="61"/>
    </row>
    <row r="564">
      <c r="C564" s="61"/>
      <c r="H564" s="61"/>
      <c r="I564" s="61"/>
      <c r="J564" s="61"/>
      <c r="K564" s="61"/>
    </row>
    <row r="565">
      <c r="C565" s="61"/>
      <c r="H565" s="61"/>
      <c r="I565" s="61"/>
      <c r="J565" s="61"/>
      <c r="K565" s="61"/>
    </row>
    <row r="566">
      <c r="C566" s="61"/>
      <c r="H566" s="61"/>
      <c r="I566" s="61"/>
      <c r="J566" s="61"/>
      <c r="K566" s="61"/>
    </row>
    <row r="567">
      <c r="C567" s="61"/>
      <c r="H567" s="61"/>
      <c r="I567" s="61"/>
      <c r="J567" s="61"/>
      <c r="K567" s="61"/>
    </row>
    <row r="568">
      <c r="C568" s="61"/>
      <c r="H568" s="61"/>
      <c r="I568" s="61"/>
      <c r="J568" s="61"/>
      <c r="K568" s="61"/>
    </row>
    <row r="569">
      <c r="C569" s="61"/>
      <c r="H569" s="61"/>
      <c r="I569" s="61"/>
      <c r="J569" s="61"/>
      <c r="K569" s="61"/>
    </row>
    <row r="570">
      <c r="C570" s="61"/>
      <c r="H570" s="61"/>
      <c r="I570" s="61"/>
      <c r="J570" s="61"/>
      <c r="K570" s="61"/>
    </row>
    <row r="571">
      <c r="C571" s="61"/>
      <c r="H571" s="61"/>
      <c r="I571" s="61"/>
      <c r="J571" s="61"/>
      <c r="K571" s="61"/>
    </row>
    <row r="572">
      <c r="C572" s="61"/>
      <c r="H572" s="61"/>
      <c r="I572" s="61"/>
      <c r="J572" s="61"/>
      <c r="K572" s="61"/>
    </row>
    <row r="573">
      <c r="C573" s="61"/>
      <c r="H573" s="61"/>
      <c r="I573" s="61"/>
      <c r="J573" s="61"/>
      <c r="K573" s="61"/>
    </row>
    <row r="574">
      <c r="C574" s="61"/>
      <c r="H574" s="61"/>
      <c r="I574" s="61"/>
      <c r="J574" s="61"/>
      <c r="K574" s="61"/>
    </row>
    <row r="575">
      <c r="C575" s="61"/>
      <c r="H575" s="61"/>
      <c r="I575" s="61"/>
      <c r="J575" s="61"/>
      <c r="K575" s="61"/>
    </row>
    <row r="576">
      <c r="C576" s="61"/>
      <c r="H576" s="61"/>
      <c r="I576" s="61"/>
      <c r="J576" s="61"/>
      <c r="K576" s="61"/>
    </row>
    <row r="577">
      <c r="C577" s="61"/>
      <c r="H577" s="61"/>
      <c r="I577" s="61"/>
      <c r="J577" s="61"/>
      <c r="K577" s="61"/>
    </row>
    <row r="578">
      <c r="C578" s="61"/>
      <c r="H578" s="61"/>
      <c r="I578" s="61"/>
      <c r="J578" s="61"/>
      <c r="K578" s="61"/>
    </row>
    <row r="579">
      <c r="C579" s="61"/>
      <c r="H579" s="61"/>
      <c r="I579" s="61"/>
      <c r="J579" s="61"/>
      <c r="K579" s="61"/>
    </row>
    <row r="580">
      <c r="C580" s="61"/>
      <c r="H580" s="61"/>
      <c r="I580" s="61"/>
      <c r="J580" s="61"/>
      <c r="K580" s="61"/>
    </row>
    <row r="581">
      <c r="C581" s="61"/>
      <c r="H581" s="61"/>
      <c r="I581" s="61"/>
      <c r="J581" s="61"/>
      <c r="K581" s="61"/>
    </row>
    <row r="582">
      <c r="C582" s="61"/>
      <c r="H582" s="61"/>
      <c r="I582" s="61"/>
      <c r="J582" s="61"/>
      <c r="K582" s="61"/>
    </row>
    <row r="583">
      <c r="C583" s="61"/>
      <c r="H583" s="61"/>
      <c r="I583" s="61"/>
      <c r="J583" s="61"/>
      <c r="K583" s="61"/>
    </row>
    <row r="584">
      <c r="C584" s="61"/>
      <c r="H584" s="61"/>
      <c r="I584" s="61"/>
      <c r="J584" s="61"/>
      <c r="K584" s="61"/>
    </row>
    <row r="585">
      <c r="C585" s="61"/>
      <c r="H585" s="61"/>
      <c r="I585" s="61"/>
      <c r="J585" s="61"/>
      <c r="K585" s="61"/>
    </row>
    <row r="586">
      <c r="C586" s="61"/>
      <c r="H586" s="61"/>
      <c r="I586" s="61"/>
      <c r="J586" s="61"/>
      <c r="K586" s="61"/>
    </row>
    <row r="587">
      <c r="C587" s="61"/>
      <c r="H587" s="61"/>
      <c r="I587" s="61"/>
      <c r="J587" s="61"/>
      <c r="K587" s="61"/>
    </row>
    <row r="588">
      <c r="C588" s="61"/>
      <c r="H588" s="61"/>
      <c r="I588" s="61"/>
      <c r="J588" s="61"/>
      <c r="K588" s="61"/>
    </row>
    <row r="589">
      <c r="C589" s="61"/>
      <c r="H589" s="61"/>
      <c r="I589" s="61"/>
      <c r="J589" s="61"/>
      <c r="K589" s="61"/>
    </row>
    <row r="590">
      <c r="C590" s="61"/>
      <c r="H590" s="61"/>
      <c r="I590" s="61"/>
      <c r="J590" s="61"/>
      <c r="K590" s="61"/>
    </row>
    <row r="591">
      <c r="C591" s="61"/>
      <c r="H591" s="61"/>
      <c r="I591" s="61"/>
      <c r="J591" s="61"/>
      <c r="K591" s="61"/>
    </row>
    <row r="592">
      <c r="C592" s="61"/>
      <c r="H592" s="61"/>
      <c r="I592" s="61"/>
      <c r="J592" s="61"/>
      <c r="K592" s="61"/>
    </row>
    <row r="593">
      <c r="C593" s="61"/>
      <c r="H593" s="61"/>
      <c r="I593" s="61"/>
      <c r="J593" s="61"/>
      <c r="K593" s="61"/>
    </row>
    <row r="594">
      <c r="C594" s="61"/>
      <c r="H594" s="61"/>
      <c r="I594" s="61"/>
      <c r="J594" s="61"/>
      <c r="K594" s="61"/>
    </row>
    <row r="595">
      <c r="C595" s="61"/>
      <c r="H595" s="61"/>
      <c r="I595" s="61"/>
      <c r="J595" s="61"/>
      <c r="K595" s="61"/>
    </row>
    <row r="596">
      <c r="C596" s="61"/>
      <c r="H596" s="61"/>
      <c r="I596" s="61"/>
      <c r="J596" s="61"/>
      <c r="K596" s="61"/>
    </row>
    <row r="597">
      <c r="C597" s="61"/>
      <c r="H597" s="61"/>
      <c r="I597" s="61"/>
      <c r="J597" s="61"/>
      <c r="K597" s="61"/>
    </row>
    <row r="598">
      <c r="C598" s="61"/>
      <c r="H598" s="61"/>
      <c r="I598" s="61"/>
      <c r="J598" s="61"/>
      <c r="K598" s="61"/>
    </row>
    <row r="599">
      <c r="C599" s="61"/>
      <c r="H599" s="61"/>
      <c r="I599" s="61"/>
      <c r="J599" s="61"/>
      <c r="K599" s="61"/>
    </row>
    <row r="600">
      <c r="C600" s="61"/>
      <c r="H600" s="61"/>
      <c r="I600" s="61"/>
      <c r="J600" s="61"/>
      <c r="K600" s="61"/>
    </row>
    <row r="601">
      <c r="C601" s="61"/>
      <c r="H601" s="61"/>
      <c r="I601" s="61"/>
      <c r="J601" s="61"/>
      <c r="K601" s="61"/>
    </row>
    <row r="602">
      <c r="C602" s="61"/>
      <c r="H602" s="61"/>
      <c r="I602" s="61"/>
      <c r="J602" s="61"/>
      <c r="K602" s="61"/>
    </row>
    <row r="603">
      <c r="C603" s="61"/>
      <c r="H603" s="61"/>
      <c r="I603" s="61"/>
      <c r="J603" s="61"/>
      <c r="K603" s="61"/>
    </row>
    <row r="604">
      <c r="C604" s="61"/>
      <c r="H604" s="61"/>
      <c r="I604" s="61"/>
      <c r="J604" s="61"/>
      <c r="K604" s="61"/>
    </row>
    <row r="605">
      <c r="C605" s="61"/>
      <c r="H605" s="61"/>
      <c r="I605" s="61"/>
      <c r="J605" s="61"/>
      <c r="K605" s="61"/>
    </row>
    <row r="606">
      <c r="C606" s="61"/>
      <c r="H606" s="61"/>
      <c r="I606" s="61"/>
      <c r="J606" s="61"/>
      <c r="K606" s="61"/>
    </row>
    <row r="607">
      <c r="C607" s="61"/>
      <c r="H607" s="61"/>
      <c r="I607" s="61"/>
      <c r="J607" s="61"/>
      <c r="K607" s="61"/>
    </row>
    <row r="608">
      <c r="C608" s="61"/>
      <c r="H608" s="61"/>
      <c r="I608" s="61"/>
      <c r="J608" s="61"/>
      <c r="K608" s="61"/>
    </row>
    <row r="609">
      <c r="C609" s="61"/>
      <c r="H609" s="61"/>
      <c r="I609" s="61"/>
      <c r="J609" s="61"/>
      <c r="K609" s="61"/>
    </row>
    <row r="610">
      <c r="C610" s="61"/>
      <c r="H610" s="61"/>
      <c r="I610" s="61"/>
      <c r="J610" s="61"/>
      <c r="K610" s="61"/>
    </row>
    <row r="611">
      <c r="C611" s="61"/>
      <c r="H611" s="61"/>
      <c r="I611" s="61"/>
      <c r="J611" s="61"/>
      <c r="K611" s="61"/>
    </row>
    <row r="612">
      <c r="C612" s="61"/>
      <c r="H612" s="61"/>
      <c r="I612" s="61"/>
      <c r="J612" s="61"/>
      <c r="K612" s="61"/>
    </row>
    <row r="613">
      <c r="C613" s="61"/>
      <c r="H613" s="61"/>
      <c r="I613" s="61"/>
      <c r="J613" s="61"/>
      <c r="K613" s="61"/>
    </row>
    <row r="614">
      <c r="C614" s="61"/>
      <c r="H614" s="61"/>
      <c r="I614" s="61"/>
      <c r="J614" s="61"/>
      <c r="K614" s="61"/>
    </row>
    <row r="615">
      <c r="C615" s="61"/>
      <c r="H615" s="61"/>
      <c r="I615" s="61"/>
      <c r="J615" s="61"/>
      <c r="K615" s="61"/>
    </row>
    <row r="616">
      <c r="C616" s="61"/>
      <c r="H616" s="61"/>
      <c r="I616" s="61"/>
      <c r="J616" s="61"/>
      <c r="K616" s="61"/>
    </row>
    <row r="617">
      <c r="C617" s="61"/>
      <c r="H617" s="61"/>
      <c r="I617" s="61"/>
      <c r="J617" s="61"/>
      <c r="K617" s="61"/>
    </row>
    <row r="618">
      <c r="C618" s="61"/>
      <c r="H618" s="61"/>
      <c r="I618" s="61"/>
      <c r="J618" s="61"/>
      <c r="K618" s="61"/>
    </row>
    <row r="619">
      <c r="C619" s="61"/>
      <c r="H619" s="61"/>
      <c r="I619" s="61"/>
      <c r="J619" s="61"/>
      <c r="K619" s="61"/>
    </row>
    <row r="620">
      <c r="C620" s="61"/>
      <c r="H620" s="61"/>
      <c r="I620" s="61"/>
      <c r="J620" s="61"/>
      <c r="K620" s="61"/>
    </row>
    <row r="621">
      <c r="C621" s="61"/>
      <c r="H621" s="61"/>
      <c r="I621" s="61"/>
      <c r="J621" s="61"/>
      <c r="K621" s="61"/>
    </row>
    <row r="622">
      <c r="C622" s="61"/>
      <c r="H622" s="61"/>
      <c r="I622" s="61"/>
      <c r="J622" s="61"/>
      <c r="K622" s="61"/>
    </row>
    <row r="623">
      <c r="C623" s="61"/>
      <c r="H623" s="61"/>
      <c r="I623" s="61"/>
      <c r="J623" s="61"/>
      <c r="K623" s="61"/>
    </row>
    <row r="624">
      <c r="C624" s="61"/>
      <c r="H624" s="61"/>
      <c r="I624" s="61"/>
      <c r="J624" s="61"/>
      <c r="K624" s="61"/>
    </row>
    <row r="625">
      <c r="C625" s="61"/>
      <c r="H625" s="61"/>
      <c r="I625" s="61"/>
      <c r="J625" s="61"/>
      <c r="K625" s="61"/>
    </row>
    <row r="626">
      <c r="C626" s="61"/>
      <c r="H626" s="61"/>
      <c r="I626" s="61"/>
      <c r="J626" s="61"/>
      <c r="K626" s="61"/>
    </row>
    <row r="627">
      <c r="C627" s="61"/>
      <c r="H627" s="61"/>
      <c r="I627" s="61"/>
      <c r="J627" s="61"/>
      <c r="K627" s="61"/>
    </row>
    <row r="628">
      <c r="C628" s="61"/>
      <c r="H628" s="61"/>
      <c r="I628" s="61"/>
      <c r="J628" s="61"/>
      <c r="K628" s="61"/>
    </row>
    <row r="629">
      <c r="C629" s="61"/>
      <c r="H629" s="61"/>
      <c r="I629" s="61"/>
      <c r="J629" s="61"/>
      <c r="K629" s="61"/>
    </row>
    <row r="630">
      <c r="C630" s="61"/>
      <c r="H630" s="61"/>
      <c r="I630" s="61"/>
      <c r="J630" s="61"/>
      <c r="K630" s="61"/>
    </row>
    <row r="631">
      <c r="C631" s="61"/>
      <c r="H631" s="61"/>
      <c r="I631" s="61"/>
      <c r="J631" s="61"/>
      <c r="K631" s="61"/>
    </row>
    <row r="632">
      <c r="C632" s="61"/>
      <c r="H632" s="61"/>
      <c r="I632" s="61"/>
      <c r="J632" s="61"/>
      <c r="K632" s="61"/>
    </row>
    <row r="633">
      <c r="C633" s="61"/>
      <c r="H633" s="61"/>
      <c r="I633" s="61"/>
      <c r="J633" s="61"/>
      <c r="K633" s="61"/>
    </row>
    <row r="634">
      <c r="C634" s="61"/>
      <c r="H634" s="61"/>
      <c r="I634" s="61"/>
      <c r="J634" s="61"/>
      <c r="K634" s="61"/>
    </row>
    <row r="635">
      <c r="C635" s="61"/>
      <c r="H635" s="61"/>
      <c r="I635" s="61"/>
      <c r="J635" s="61"/>
      <c r="K635" s="61"/>
    </row>
    <row r="636">
      <c r="C636" s="61"/>
      <c r="H636" s="61"/>
      <c r="I636" s="61"/>
      <c r="J636" s="61"/>
      <c r="K636" s="61"/>
    </row>
    <row r="637">
      <c r="C637" s="61"/>
      <c r="H637" s="61"/>
      <c r="I637" s="61"/>
      <c r="J637" s="61"/>
      <c r="K637" s="61"/>
    </row>
    <row r="638">
      <c r="C638" s="61"/>
      <c r="H638" s="61"/>
      <c r="I638" s="61"/>
      <c r="J638" s="61"/>
      <c r="K638" s="61"/>
    </row>
    <row r="639">
      <c r="C639" s="61"/>
      <c r="H639" s="61"/>
      <c r="I639" s="61"/>
      <c r="J639" s="61"/>
      <c r="K639" s="61"/>
    </row>
    <row r="640">
      <c r="C640" s="61"/>
      <c r="H640" s="61"/>
      <c r="I640" s="61"/>
      <c r="J640" s="61"/>
      <c r="K640" s="61"/>
    </row>
    <row r="641">
      <c r="C641" s="61"/>
      <c r="H641" s="61"/>
      <c r="I641" s="61"/>
      <c r="J641" s="61"/>
      <c r="K641" s="61"/>
    </row>
    <row r="642">
      <c r="C642" s="61"/>
      <c r="H642" s="61"/>
      <c r="I642" s="61"/>
      <c r="J642" s="61"/>
      <c r="K642" s="61"/>
    </row>
    <row r="643">
      <c r="C643" s="61"/>
      <c r="H643" s="61"/>
      <c r="I643" s="61"/>
      <c r="J643" s="61"/>
      <c r="K643" s="61"/>
    </row>
    <row r="644">
      <c r="C644" s="61"/>
      <c r="H644" s="61"/>
      <c r="I644" s="61"/>
      <c r="J644" s="61"/>
      <c r="K644" s="61"/>
    </row>
    <row r="645">
      <c r="C645" s="61"/>
      <c r="H645" s="61"/>
      <c r="I645" s="61"/>
      <c r="J645" s="61"/>
      <c r="K645" s="61"/>
    </row>
    <row r="646">
      <c r="C646" s="61"/>
      <c r="H646" s="61"/>
      <c r="I646" s="61"/>
      <c r="J646" s="61"/>
      <c r="K646" s="61"/>
    </row>
    <row r="647">
      <c r="C647" s="61"/>
      <c r="H647" s="61"/>
      <c r="I647" s="61"/>
      <c r="J647" s="61"/>
      <c r="K647" s="61"/>
    </row>
    <row r="648">
      <c r="C648" s="61"/>
      <c r="H648" s="61"/>
      <c r="I648" s="61"/>
      <c r="J648" s="61"/>
      <c r="K648" s="61"/>
    </row>
    <row r="649">
      <c r="C649" s="61"/>
      <c r="H649" s="61"/>
      <c r="I649" s="61"/>
      <c r="J649" s="61"/>
      <c r="K649" s="61"/>
    </row>
    <row r="650">
      <c r="C650" s="61"/>
      <c r="H650" s="61"/>
      <c r="I650" s="61"/>
      <c r="J650" s="61"/>
      <c r="K650" s="61"/>
    </row>
    <row r="651">
      <c r="C651" s="61"/>
      <c r="H651" s="61"/>
      <c r="I651" s="61"/>
      <c r="J651" s="61"/>
      <c r="K651" s="61"/>
    </row>
    <row r="652">
      <c r="C652" s="61"/>
      <c r="H652" s="61"/>
      <c r="I652" s="61"/>
      <c r="J652" s="61"/>
      <c r="K652" s="61"/>
    </row>
    <row r="653">
      <c r="C653" s="61"/>
      <c r="H653" s="61"/>
      <c r="I653" s="61"/>
      <c r="J653" s="61"/>
      <c r="K653" s="61"/>
    </row>
    <row r="654">
      <c r="C654" s="61"/>
      <c r="H654" s="61"/>
      <c r="I654" s="61"/>
      <c r="J654" s="61"/>
      <c r="K654" s="61"/>
    </row>
    <row r="655">
      <c r="C655" s="61"/>
      <c r="H655" s="61"/>
      <c r="I655" s="61"/>
      <c r="J655" s="61"/>
      <c r="K655" s="61"/>
    </row>
    <row r="656">
      <c r="C656" s="61"/>
      <c r="H656" s="61"/>
      <c r="I656" s="61"/>
      <c r="J656" s="61"/>
      <c r="K656" s="61"/>
    </row>
    <row r="657">
      <c r="C657" s="61"/>
      <c r="H657" s="61"/>
      <c r="I657" s="61"/>
      <c r="J657" s="61"/>
      <c r="K657" s="61"/>
    </row>
    <row r="658">
      <c r="C658" s="61"/>
      <c r="H658" s="61"/>
      <c r="I658" s="61"/>
      <c r="J658" s="61"/>
      <c r="K658" s="61"/>
    </row>
    <row r="659">
      <c r="C659" s="61"/>
      <c r="H659" s="61"/>
      <c r="I659" s="61"/>
      <c r="J659" s="61"/>
      <c r="K659" s="61"/>
    </row>
    <row r="660">
      <c r="C660" s="61"/>
      <c r="H660" s="61"/>
      <c r="I660" s="61"/>
      <c r="J660" s="61"/>
      <c r="K660" s="61"/>
    </row>
    <row r="661">
      <c r="C661" s="61"/>
      <c r="H661" s="61"/>
      <c r="I661" s="61"/>
      <c r="J661" s="61"/>
      <c r="K661" s="61"/>
    </row>
    <row r="662">
      <c r="C662" s="61"/>
      <c r="H662" s="61"/>
      <c r="I662" s="61"/>
      <c r="J662" s="61"/>
      <c r="K662" s="61"/>
    </row>
    <row r="663">
      <c r="C663" s="61"/>
      <c r="H663" s="61"/>
      <c r="I663" s="61"/>
      <c r="J663" s="61"/>
      <c r="K663" s="61"/>
    </row>
    <row r="664">
      <c r="C664" s="61"/>
      <c r="H664" s="61"/>
      <c r="I664" s="61"/>
      <c r="J664" s="61"/>
      <c r="K664" s="61"/>
    </row>
    <row r="665">
      <c r="C665" s="61"/>
      <c r="H665" s="61"/>
      <c r="I665" s="61"/>
      <c r="J665" s="61"/>
      <c r="K665" s="61"/>
    </row>
    <row r="666">
      <c r="C666" s="61"/>
      <c r="H666" s="61"/>
      <c r="I666" s="61"/>
      <c r="J666" s="61"/>
      <c r="K666" s="61"/>
    </row>
    <row r="667">
      <c r="C667" s="61"/>
      <c r="H667" s="61"/>
      <c r="I667" s="61"/>
      <c r="J667" s="61"/>
      <c r="K667" s="61"/>
    </row>
    <row r="668">
      <c r="C668" s="61"/>
      <c r="H668" s="61"/>
      <c r="I668" s="61"/>
      <c r="J668" s="61"/>
      <c r="K668" s="61"/>
    </row>
    <row r="669">
      <c r="C669" s="61"/>
      <c r="H669" s="61"/>
      <c r="I669" s="61"/>
      <c r="J669" s="61"/>
      <c r="K669" s="61"/>
    </row>
    <row r="670">
      <c r="C670" s="61"/>
      <c r="H670" s="61"/>
      <c r="I670" s="61"/>
      <c r="J670" s="61"/>
      <c r="K670" s="61"/>
    </row>
    <row r="671">
      <c r="C671" s="61"/>
      <c r="H671" s="61"/>
      <c r="I671" s="61"/>
      <c r="J671" s="61"/>
      <c r="K671" s="61"/>
    </row>
    <row r="672">
      <c r="C672" s="61"/>
      <c r="H672" s="61"/>
      <c r="I672" s="61"/>
      <c r="J672" s="61"/>
      <c r="K672" s="61"/>
    </row>
    <row r="673">
      <c r="C673" s="61"/>
      <c r="H673" s="61"/>
      <c r="I673" s="61"/>
      <c r="J673" s="61"/>
      <c r="K673" s="61"/>
    </row>
    <row r="674">
      <c r="C674" s="61"/>
      <c r="H674" s="61"/>
      <c r="I674" s="61"/>
      <c r="J674" s="61"/>
      <c r="K674" s="61"/>
    </row>
    <row r="675">
      <c r="C675" s="61"/>
      <c r="H675" s="61"/>
      <c r="I675" s="61"/>
      <c r="J675" s="61"/>
      <c r="K675" s="61"/>
    </row>
    <row r="676">
      <c r="C676" s="61"/>
      <c r="H676" s="61"/>
      <c r="I676" s="61"/>
      <c r="J676" s="61"/>
      <c r="K676" s="61"/>
    </row>
    <row r="677">
      <c r="C677" s="61"/>
      <c r="H677" s="61"/>
      <c r="I677" s="61"/>
      <c r="J677" s="61"/>
      <c r="K677" s="61"/>
    </row>
    <row r="678">
      <c r="C678" s="61"/>
      <c r="H678" s="61"/>
      <c r="I678" s="61"/>
      <c r="J678" s="61"/>
      <c r="K678" s="61"/>
    </row>
    <row r="679">
      <c r="C679" s="61"/>
      <c r="H679" s="61"/>
      <c r="I679" s="61"/>
      <c r="J679" s="61"/>
      <c r="K679" s="61"/>
    </row>
    <row r="680">
      <c r="C680" s="61"/>
      <c r="H680" s="61"/>
      <c r="I680" s="61"/>
      <c r="J680" s="61"/>
      <c r="K680" s="61"/>
    </row>
    <row r="681">
      <c r="C681" s="61"/>
      <c r="H681" s="61"/>
      <c r="I681" s="61"/>
      <c r="J681" s="61"/>
      <c r="K681" s="61"/>
    </row>
    <row r="682">
      <c r="C682" s="61"/>
      <c r="H682" s="61"/>
      <c r="I682" s="61"/>
      <c r="J682" s="61"/>
      <c r="K682" s="61"/>
    </row>
    <row r="683">
      <c r="C683" s="61"/>
      <c r="H683" s="61"/>
      <c r="I683" s="61"/>
      <c r="J683" s="61"/>
      <c r="K683" s="61"/>
    </row>
    <row r="684">
      <c r="C684" s="61"/>
      <c r="H684" s="61"/>
      <c r="I684" s="61"/>
      <c r="J684" s="61"/>
      <c r="K684" s="61"/>
    </row>
    <row r="685">
      <c r="C685" s="61"/>
      <c r="H685" s="61"/>
      <c r="I685" s="61"/>
      <c r="J685" s="61"/>
      <c r="K685" s="61"/>
    </row>
    <row r="686">
      <c r="C686" s="61"/>
      <c r="H686" s="61"/>
      <c r="I686" s="61"/>
      <c r="J686" s="61"/>
      <c r="K686" s="61"/>
    </row>
    <row r="687">
      <c r="C687" s="61"/>
      <c r="H687" s="61"/>
      <c r="I687" s="61"/>
      <c r="J687" s="61"/>
      <c r="K687" s="61"/>
    </row>
    <row r="688">
      <c r="C688" s="61"/>
      <c r="H688" s="61"/>
      <c r="I688" s="61"/>
      <c r="J688" s="61"/>
      <c r="K688" s="61"/>
    </row>
    <row r="689">
      <c r="C689" s="61"/>
      <c r="H689" s="61"/>
      <c r="I689" s="61"/>
      <c r="J689" s="61"/>
      <c r="K689" s="61"/>
    </row>
    <row r="690">
      <c r="C690" s="61"/>
      <c r="H690" s="61"/>
      <c r="I690" s="61"/>
      <c r="J690" s="61"/>
      <c r="K690" s="61"/>
    </row>
    <row r="691">
      <c r="C691" s="61"/>
      <c r="H691" s="61"/>
      <c r="I691" s="61"/>
      <c r="J691" s="61"/>
      <c r="K691" s="61"/>
    </row>
    <row r="692">
      <c r="C692" s="61"/>
      <c r="H692" s="61"/>
      <c r="I692" s="61"/>
      <c r="J692" s="61"/>
      <c r="K692" s="61"/>
    </row>
    <row r="693">
      <c r="C693" s="61"/>
      <c r="H693" s="61"/>
      <c r="I693" s="61"/>
      <c r="J693" s="61"/>
      <c r="K693" s="61"/>
    </row>
    <row r="694">
      <c r="C694" s="61"/>
      <c r="H694" s="61"/>
      <c r="I694" s="61"/>
      <c r="J694" s="61"/>
      <c r="K694" s="61"/>
    </row>
    <row r="695">
      <c r="C695" s="61"/>
      <c r="H695" s="61"/>
      <c r="I695" s="61"/>
      <c r="J695" s="61"/>
      <c r="K695" s="61"/>
    </row>
    <row r="696">
      <c r="C696" s="61"/>
      <c r="H696" s="61"/>
      <c r="I696" s="61"/>
      <c r="J696" s="61"/>
      <c r="K696" s="61"/>
    </row>
    <row r="697">
      <c r="C697" s="61"/>
      <c r="H697" s="61"/>
      <c r="I697" s="61"/>
      <c r="J697" s="61"/>
      <c r="K697" s="61"/>
    </row>
    <row r="698">
      <c r="C698" s="61"/>
      <c r="H698" s="61"/>
      <c r="I698" s="61"/>
      <c r="J698" s="61"/>
      <c r="K698" s="61"/>
    </row>
    <row r="699">
      <c r="C699" s="61"/>
      <c r="H699" s="61"/>
      <c r="I699" s="61"/>
      <c r="J699" s="61"/>
      <c r="K699" s="61"/>
    </row>
    <row r="700">
      <c r="C700" s="61"/>
      <c r="H700" s="61"/>
      <c r="I700" s="61"/>
      <c r="J700" s="61"/>
      <c r="K700" s="61"/>
    </row>
    <row r="701">
      <c r="C701" s="61"/>
      <c r="H701" s="61"/>
      <c r="I701" s="61"/>
      <c r="J701" s="61"/>
      <c r="K701" s="61"/>
    </row>
    <row r="702">
      <c r="C702" s="61"/>
      <c r="H702" s="61"/>
      <c r="I702" s="61"/>
      <c r="J702" s="61"/>
      <c r="K702" s="61"/>
    </row>
    <row r="703">
      <c r="C703" s="61"/>
      <c r="H703" s="61"/>
      <c r="I703" s="61"/>
      <c r="J703" s="61"/>
      <c r="K703" s="61"/>
    </row>
    <row r="704">
      <c r="C704" s="61"/>
      <c r="H704" s="61"/>
      <c r="I704" s="61"/>
      <c r="J704" s="61"/>
      <c r="K704" s="61"/>
    </row>
    <row r="705">
      <c r="C705" s="61"/>
      <c r="H705" s="61"/>
      <c r="I705" s="61"/>
      <c r="J705" s="61"/>
      <c r="K705" s="61"/>
    </row>
    <row r="706">
      <c r="C706" s="61"/>
      <c r="H706" s="61"/>
      <c r="I706" s="61"/>
      <c r="J706" s="61"/>
      <c r="K706" s="61"/>
    </row>
    <row r="707">
      <c r="C707" s="61"/>
      <c r="H707" s="61"/>
      <c r="I707" s="61"/>
      <c r="J707" s="61"/>
      <c r="K707" s="61"/>
    </row>
    <row r="708">
      <c r="C708" s="61"/>
      <c r="H708" s="61"/>
      <c r="I708" s="61"/>
      <c r="J708" s="61"/>
      <c r="K708" s="61"/>
    </row>
    <row r="709">
      <c r="C709" s="61"/>
      <c r="H709" s="61"/>
      <c r="I709" s="61"/>
      <c r="J709" s="61"/>
      <c r="K709" s="61"/>
    </row>
    <row r="710">
      <c r="C710" s="61"/>
      <c r="H710" s="61"/>
      <c r="I710" s="61"/>
      <c r="J710" s="61"/>
      <c r="K710" s="61"/>
    </row>
    <row r="711">
      <c r="C711" s="61"/>
      <c r="H711" s="61"/>
      <c r="I711" s="61"/>
      <c r="J711" s="61"/>
      <c r="K711" s="61"/>
    </row>
    <row r="712">
      <c r="C712" s="61"/>
      <c r="H712" s="61"/>
      <c r="I712" s="61"/>
      <c r="J712" s="61"/>
      <c r="K712" s="61"/>
    </row>
    <row r="713">
      <c r="C713" s="61"/>
      <c r="H713" s="61"/>
      <c r="I713" s="61"/>
      <c r="J713" s="61"/>
      <c r="K713" s="61"/>
    </row>
    <row r="714">
      <c r="C714" s="61"/>
      <c r="H714" s="61"/>
      <c r="I714" s="61"/>
      <c r="J714" s="61"/>
      <c r="K714" s="61"/>
    </row>
    <row r="715">
      <c r="C715" s="61"/>
      <c r="H715" s="61"/>
      <c r="I715" s="61"/>
      <c r="J715" s="61"/>
      <c r="K715" s="61"/>
    </row>
    <row r="716">
      <c r="C716" s="61"/>
      <c r="H716" s="61"/>
      <c r="I716" s="61"/>
      <c r="J716" s="61"/>
      <c r="K716" s="61"/>
    </row>
    <row r="717">
      <c r="C717" s="61"/>
      <c r="H717" s="61"/>
      <c r="I717" s="61"/>
      <c r="J717" s="61"/>
      <c r="K717" s="61"/>
    </row>
    <row r="718">
      <c r="C718" s="61"/>
      <c r="H718" s="61"/>
      <c r="I718" s="61"/>
      <c r="J718" s="61"/>
      <c r="K718" s="61"/>
    </row>
    <row r="719">
      <c r="C719" s="61"/>
      <c r="H719" s="61"/>
      <c r="I719" s="61"/>
      <c r="J719" s="61"/>
      <c r="K719" s="61"/>
    </row>
    <row r="720">
      <c r="C720" s="61"/>
      <c r="H720" s="61"/>
      <c r="I720" s="61"/>
      <c r="J720" s="61"/>
      <c r="K720" s="61"/>
    </row>
    <row r="721">
      <c r="C721" s="61"/>
      <c r="H721" s="61"/>
      <c r="I721" s="61"/>
      <c r="J721" s="61"/>
      <c r="K721" s="61"/>
    </row>
    <row r="722">
      <c r="C722" s="61"/>
      <c r="H722" s="61"/>
      <c r="I722" s="61"/>
      <c r="J722" s="61"/>
      <c r="K722" s="61"/>
    </row>
    <row r="723">
      <c r="C723" s="61"/>
      <c r="H723" s="61"/>
      <c r="I723" s="61"/>
      <c r="J723" s="61"/>
      <c r="K723" s="61"/>
    </row>
    <row r="724">
      <c r="C724" s="61"/>
      <c r="H724" s="61"/>
      <c r="I724" s="61"/>
      <c r="J724" s="61"/>
      <c r="K724" s="61"/>
    </row>
    <row r="725">
      <c r="C725" s="61"/>
      <c r="H725" s="61"/>
      <c r="I725" s="61"/>
      <c r="J725" s="61"/>
      <c r="K725" s="61"/>
    </row>
    <row r="726">
      <c r="C726" s="61"/>
      <c r="H726" s="61"/>
      <c r="I726" s="61"/>
      <c r="J726" s="61"/>
      <c r="K726" s="61"/>
    </row>
    <row r="727">
      <c r="C727" s="61"/>
      <c r="H727" s="61"/>
      <c r="I727" s="61"/>
      <c r="J727" s="61"/>
      <c r="K727" s="61"/>
    </row>
    <row r="728">
      <c r="C728" s="61"/>
      <c r="H728" s="61"/>
      <c r="I728" s="61"/>
      <c r="J728" s="61"/>
      <c r="K728" s="61"/>
    </row>
    <row r="729">
      <c r="C729" s="61"/>
      <c r="H729" s="61"/>
      <c r="I729" s="61"/>
      <c r="J729" s="61"/>
      <c r="K729" s="61"/>
    </row>
    <row r="730">
      <c r="C730" s="61"/>
      <c r="H730" s="61"/>
      <c r="I730" s="61"/>
      <c r="J730" s="61"/>
      <c r="K730" s="61"/>
    </row>
    <row r="731">
      <c r="C731" s="61"/>
      <c r="H731" s="61"/>
      <c r="I731" s="61"/>
      <c r="J731" s="61"/>
      <c r="K731" s="61"/>
    </row>
    <row r="732">
      <c r="C732" s="61"/>
      <c r="H732" s="61"/>
      <c r="I732" s="61"/>
      <c r="J732" s="61"/>
      <c r="K732" s="61"/>
    </row>
    <row r="733">
      <c r="C733" s="61"/>
      <c r="H733" s="61"/>
      <c r="I733" s="61"/>
      <c r="J733" s="61"/>
      <c r="K733" s="61"/>
    </row>
    <row r="734">
      <c r="C734" s="61"/>
      <c r="H734" s="61"/>
      <c r="I734" s="61"/>
      <c r="J734" s="61"/>
      <c r="K734" s="61"/>
    </row>
    <row r="735">
      <c r="C735" s="61"/>
      <c r="H735" s="61"/>
      <c r="I735" s="61"/>
      <c r="J735" s="61"/>
      <c r="K735" s="61"/>
    </row>
    <row r="736">
      <c r="C736" s="61"/>
      <c r="H736" s="61"/>
      <c r="I736" s="61"/>
      <c r="J736" s="61"/>
      <c r="K736" s="61"/>
    </row>
    <row r="737">
      <c r="C737" s="61"/>
      <c r="H737" s="61"/>
      <c r="I737" s="61"/>
      <c r="J737" s="61"/>
      <c r="K737" s="61"/>
    </row>
    <row r="738">
      <c r="C738" s="61"/>
      <c r="H738" s="61"/>
      <c r="I738" s="61"/>
      <c r="J738" s="61"/>
      <c r="K738" s="61"/>
    </row>
    <row r="739">
      <c r="C739" s="61"/>
      <c r="H739" s="61"/>
      <c r="I739" s="61"/>
      <c r="J739" s="61"/>
      <c r="K739" s="61"/>
    </row>
    <row r="740">
      <c r="C740" s="61"/>
      <c r="H740" s="61"/>
      <c r="I740" s="61"/>
      <c r="J740" s="61"/>
      <c r="K740" s="61"/>
    </row>
    <row r="741">
      <c r="C741" s="61"/>
      <c r="H741" s="61"/>
      <c r="I741" s="61"/>
      <c r="J741" s="61"/>
      <c r="K741" s="61"/>
    </row>
    <row r="742">
      <c r="C742" s="61"/>
      <c r="H742" s="61"/>
      <c r="I742" s="61"/>
      <c r="J742" s="61"/>
      <c r="K742" s="61"/>
    </row>
    <row r="743">
      <c r="C743" s="61"/>
      <c r="H743" s="61"/>
      <c r="I743" s="61"/>
      <c r="J743" s="61"/>
      <c r="K743" s="61"/>
    </row>
    <row r="744">
      <c r="C744" s="61"/>
      <c r="H744" s="61"/>
      <c r="I744" s="61"/>
      <c r="J744" s="61"/>
      <c r="K744" s="61"/>
    </row>
    <row r="745">
      <c r="C745" s="61"/>
      <c r="H745" s="61"/>
      <c r="I745" s="61"/>
      <c r="J745" s="61"/>
      <c r="K745" s="61"/>
    </row>
    <row r="746">
      <c r="C746" s="61"/>
      <c r="H746" s="61"/>
      <c r="I746" s="61"/>
      <c r="J746" s="61"/>
      <c r="K746" s="61"/>
    </row>
    <row r="747">
      <c r="C747" s="61"/>
      <c r="H747" s="61"/>
      <c r="I747" s="61"/>
      <c r="J747" s="61"/>
      <c r="K747" s="61"/>
    </row>
    <row r="748">
      <c r="C748" s="61"/>
      <c r="H748" s="61"/>
      <c r="I748" s="61"/>
      <c r="J748" s="61"/>
      <c r="K748" s="61"/>
    </row>
    <row r="749">
      <c r="C749" s="61"/>
      <c r="H749" s="61"/>
      <c r="I749" s="61"/>
      <c r="J749" s="61"/>
      <c r="K749" s="61"/>
    </row>
    <row r="750">
      <c r="C750" s="61"/>
      <c r="H750" s="61"/>
      <c r="I750" s="61"/>
      <c r="J750" s="61"/>
      <c r="K750" s="61"/>
    </row>
    <row r="751">
      <c r="C751" s="61"/>
      <c r="H751" s="61"/>
      <c r="I751" s="61"/>
      <c r="J751" s="61"/>
      <c r="K751" s="61"/>
    </row>
    <row r="752">
      <c r="C752" s="61"/>
      <c r="H752" s="61"/>
      <c r="I752" s="61"/>
      <c r="J752" s="61"/>
      <c r="K752" s="61"/>
    </row>
    <row r="753">
      <c r="C753" s="61"/>
      <c r="H753" s="61"/>
      <c r="I753" s="61"/>
      <c r="J753" s="61"/>
      <c r="K753" s="61"/>
    </row>
    <row r="754">
      <c r="C754" s="61"/>
      <c r="H754" s="61"/>
      <c r="I754" s="61"/>
      <c r="J754" s="61"/>
      <c r="K754" s="61"/>
    </row>
    <row r="755">
      <c r="C755" s="61"/>
      <c r="H755" s="61"/>
      <c r="I755" s="61"/>
      <c r="J755" s="61"/>
      <c r="K755" s="61"/>
    </row>
    <row r="756">
      <c r="C756" s="61"/>
      <c r="H756" s="61"/>
      <c r="I756" s="61"/>
      <c r="J756" s="61"/>
      <c r="K756" s="61"/>
    </row>
    <row r="757">
      <c r="C757" s="61"/>
      <c r="H757" s="61"/>
      <c r="I757" s="61"/>
      <c r="J757" s="61"/>
      <c r="K757" s="61"/>
    </row>
    <row r="758">
      <c r="C758" s="61"/>
      <c r="H758" s="61"/>
      <c r="I758" s="61"/>
      <c r="J758" s="61"/>
      <c r="K758" s="61"/>
    </row>
    <row r="759">
      <c r="C759" s="61"/>
      <c r="H759" s="61"/>
      <c r="I759" s="61"/>
      <c r="J759" s="61"/>
      <c r="K759" s="61"/>
    </row>
    <row r="760">
      <c r="C760" s="61"/>
      <c r="H760" s="61"/>
      <c r="I760" s="61"/>
      <c r="J760" s="61"/>
      <c r="K760" s="61"/>
    </row>
    <row r="761">
      <c r="C761" s="61"/>
      <c r="H761" s="61"/>
      <c r="I761" s="61"/>
      <c r="J761" s="61"/>
      <c r="K761" s="61"/>
    </row>
    <row r="762">
      <c r="C762" s="61"/>
      <c r="H762" s="61"/>
      <c r="I762" s="61"/>
      <c r="J762" s="61"/>
      <c r="K762" s="61"/>
    </row>
    <row r="763">
      <c r="C763" s="61"/>
      <c r="H763" s="61"/>
      <c r="I763" s="61"/>
      <c r="J763" s="61"/>
      <c r="K763" s="61"/>
    </row>
    <row r="764">
      <c r="C764" s="61"/>
      <c r="H764" s="61"/>
      <c r="I764" s="61"/>
      <c r="J764" s="61"/>
      <c r="K764" s="61"/>
    </row>
    <row r="765">
      <c r="C765" s="61"/>
      <c r="H765" s="61"/>
      <c r="I765" s="61"/>
      <c r="J765" s="61"/>
      <c r="K765" s="61"/>
    </row>
    <row r="766">
      <c r="C766" s="61"/>
      <c r="H766" s="61"/>
      <c r="I766" s="61"/>
      <c r="J766" s="61"/>
      <c r="K766" s="61"/>
    </row>
    <row r="767">
      <c r="C767" s="61"/>
      <c r="H767" s="61"/>
      <c r="I767" s="61"/>
      <c r="J767" s="61"/>
      <c r="K767" s="61"/>
    </row>
    <row r="768">
      <c r="C768" s="61"/>
      <c r="H768" s="61"/>
      <c r="I768" s="61"/>
      <c r="J768" s="61"/>
      <c r="K768" s="61"/>
    </row>
    <row r="769">
      <c r="C769" s="61"/>
      <c r="H769" s="61"/>
      <c r="I769" s="61"/>
      <c r="J769" s="61"/>
      <c r="K769" s="61"/>
    </row>
    <row r="770">
      <c r="C770" s="61"/>
      <c r="H770" s="61"/>
      <c r="I770" s="61"/>
      <c r="J770" s="61"/>
      <c r="K770" s="61"/>
    </row>
    <row r="771">
      <c r="C771" s="61"/>
      <c r="H771" s="61"/>
      <c r="I771" s="61"/>
      <c r="J771" s="61"/>
      <c r="K771" s="61"/>
    </row>
    <row r="772">
      <c r="C772" s="61"/>
      <c r="H772" s="61"/>
      <c r="I772" s="61"/>
      <c r="J772" s="61"/>
      <c r="K772" s="61"/>
    </row>
    <row r="773">
      <c r="C773" s="61"/>
      <c r="H773" s="61"/>
      <c r="I773" s="61"/>
      <c r="J773" s="61"/>
      <c r="K773" s="61"/>
    </row>
    <row r="774">
      <c r="C774" s="61"/>
      <c r="H774" s="61"/>
      <c r="I774" s="61"/>
      <c r="J774" s="61"/>
      <c r="K774" s="61"/>
    </row>
    <row r="775">
      <c r="C775" s="61"/>
      <c r="H775" s="61"/>
      <c r="I775" s="61"/>
      <c r="J775" s="61"/>
      <c r="K775" s="61"/>
    </row>
    <row r="776">
      <c r="C776" s="61"/>
      <c r="H776" s="61"/>
      <c r="I776" s="61"/>
      <c r="J776" s="61"/>
      <c r="K776" s="61"/>
    </row>
    <row r="777">
      <c r="C777" s="61"/>
      <c r="H777" s="61"/>
      <c r="I777" s="61"/>
      <c r="J777" s="61"/>
      <c r="K777" s="61"/>
    </row>
    <row r="778">
      <c r="C778" s="61"/>
      <c r="H778" s="61"/>
      <c r="I778" s="61"/>
      <c r="J778" s="61"/>
      <c r="K778" s="61"/>
    </row>
    <row r="779">
      <c r="C779" s="61"/>
      <c r="H779" s="61"/>
      <c r="I779" s="61"/>
      <c r="J779" s="61"/>
      <c r="K779" s="61"/>
    </row>
    <row r="780">
      <c r="C780" s="61"/>
      <c r="H780" s="61"/>
      <c r="I780" s="61"/>
      <c r="J780" s="61"/>
      <c r="K780" s="61"/>
    </row>
    <row r="781">
      <c r="C781" s="61"/>
      <c r="H781" s="61"/>
      <c r="I781" s="61"/>
      <c r="J781" s="61"/>
      <c r="K781" s="61"/>
    </row>
    <row r="782">
      <c r="C782" s="61"/>
      <c r="H782" s="61"/>
      <c r="I782" s="61"/>
      <c r="J782" s="61"/>
      <c r="K782" s="61"/>
    </row>
    <row r="783">
      <c r="C783" s="61"/>
      <c r="H783" s="61"/>
      <c r="I783" s="61"/>
      <c r="J783" s="61"/>
      <c r="K783" s="61"/>
    </row>
    <row r="784">
      <c r="C784" s="61"/>
      <c r="H784" s="61"/>
      <c r="I784" s="61"/>
      <c r="J784" s="61"/>
      <c r="K784" s="61"/>
    </row>
    <row r="785">
      <c r="C785" s="61"/>
      <c r="H785" s="61"/>
      <c r="I785" s="61"/>
      <c r="J785" s="61"/>
      <c r="K785" s="61"/>
    </row>
    <row r="786">
      <c r="C786" s="61"/>
      <c r="H786" s="61"/>
      <c r="I786" s="61"/>
      <c r="J786" s="61"/>
      <c r="K786" s="61"/>
    </row>
    <row r="787">
      <c r="C787" s="61"/>
      <c r="H787" s="61"/>
      <c r="I787" s="61"/>
      <c r="J787" s="61"/>
      <c r="K787" s="61"/>
    </row>
    <row r="788">
      <c r="C788" s="61"/>
      <c r="H788" s="61"/>
      <c r="I788" s="61"/>
      <c r="J788" s="61"/>
      <c r="K788" s="61"/>
    </row>
    <row r="789">
      <c r="C789" s="61"/>
      <c r="H789" s="61"/>
      <c r="I789" s="61"/>
      <c r="J789" s="61"/>
      <c r="K789" s="61"/>
    </row>
    <row r="790">
      <c r="C790" s="61"/>
      <c r="H790" s="61"/>
      <c r="I790" s="61"/>
      <c r="J790" s="61"/>
      <c r="K790" s="61"/>
    </row>
    <row r="791">
      <c r="C791" s="61"/>
      <c r="H791" s="61"/>
      <c r="I791" s="61"/>
      <c r="J791" s="61"/>
      <c r="K791" s="61"/>
    </row>
    <row r="792">
      <c r="C792" s="61"/>
      <c r="H792" s="61"/>
      <c r="I792" s="61"/>
      <c r="J792" s="61"/>
      <c r="K792" s="61"/>
    </row>
    <row r="793">
      <c r="C793" s="61"/>
      <c r="H793" s="61"/>
      <c r="I793" s="61"/>
      <c r="J793" s="61"/>
      <c r="K793" s="61"/>
    </row>
    <row r="794">
      <c r="C794" s="61"/>
      <c r="H794" s="61"/>
      <c r="I794" s="61"/>
      <c r="J794" s="61"/>
      <c r="K794" s="61"/>
    </row>
    <row r="795">
      <c r="C795" s="61"/>
      <c r="H795" s="61"/>
      <c r="I795" s="61"/>
      <c r="J795" s="61"/>
      <c r="K795" s="61"/>
    </row>
    <row r="796">
      <c r="C796" s="61"/>
      <c r="H796" s="61"/>
      <c r="I796" s="61"/>
      <c r="J796" s="61"/>
      <c r="K796" s="61"/>
    </row>
    <row r="797">
      <c r="C797" s="61"/>
      <c r="H797" s="61"/>
      <c r="I797" s="61"/>
      <c r="J797" s="61"/>
      <c r="K797" s="61"/>
    </row>
    <row r="798">
      <c r="C798" s="61"/>
      <c r="H798" s="61"/>
      <c r="I798" s="61"/>
      <c r="J798" s="61"/>
      <c r="K798" s="61"/>
    </row>
    <row r="799">
      <c r="C799" s="61"/>
      <c r="H799" s="61"/>
      <c r="I799" s="61"/>
      <c r="J799" s="61"/>
      <c r="K799" s="61"/>
    </row>
    <row r="800">
      <c r="C800" s="61"/>
      <c r="H800" s="61"/>
      <c r="I800" s="61"/>
      <c r="J800" s="61"/>
      <c r="K800" s="61"/>
    </row>
    <row r="801">
      <c r="C801" s="61"/>
      <c r="H801" s="61"/>
      <c r="I801" s="61"/>
      <c r="J801" s="61"/>
      <c r="K801" s="61"/>
    </row>
    <row r="802">
      <c r="C802" s="61"/>
      <c r="H802" s="61"/>
      <c r="I802" s="61"/>
      <c r="J802" s="61"/>
      <c r="K802" s="61"/>
    </row>
    <row r="803">
      <c r="C803" s="61"/>
      <c r="H803" s="61"/>
      <c r="I803" s="61"/>
      <c r="J803" s="61"/>
      <c r="K803" s="61"/>
    </row>
    <row r="804">
      <c r="C804" s="61"/>
      <c r="H804" s="61"/>
      <c r="I804" s="61"/>
      <c r="J804" s="61"/>
      <c r="K804" s="61"/>
    </row>
    <row r="805">
      <c r="C805" s="61"/>
      <c r="H805" s="61"/>
      <c r="I805" s="61"/>
      <c r="J805" s="61"/>
      <c r="K805" s="61"/>
    </row>
    <row r="806">
      <c r="C806" s="61"/>
      <c r="H806" s="61"/>
      <c r="I806" s="61"/>
      <c r="J806" s="61"/>
      <c r="K806" s="61"/>
    </row>
    <row r="807">
      <c r="C807" s="61"/>
      <c r="H807" s="61"/>
      <c r="I807" s="61"/>
      <c r="J807" s="61"/>
      <c r="K807" s="61"/>
    </row>
    <row r="808">
      <c r="C808" s="61"/>
      <c r="H808" s="61"/>
      <c r="I808" s="61"/>
      <c r="J808" s="61"/>
      <c r="K808" s="61"/>
    </row>
    <row r="809">
      <c r="C809" s="61"/>
      <c r="H809" s="61"/>
      <c r="I809" s="61"/>
      <c r="J809" s="61"/>
      <c r="K809" s="61"/>
    </row>
    <row r="810">
      <c r="C810" s="61"/>
      <c r="H810" s="61"/>
      <c r="I810" s="61"/>
      <c r="J810" s="61"/>
      <c r="K810" s="61"/>
    </row>
    <row r="811">
      <c r="C811" s="61"/>
      <c r="H811" s="61"/>
      <c r="I811" s="61"/>
      <c r="J811" s="61"/>
      <c r="K811" s="61"/>
    </row>
    <row r="812">
      <c r="C812" s="61"/>
      <c r="H812" s="61"/>
      <c r="I812" s="61"/>
      <c r="J812" s="61"/>
      <c r="K812" s="61"/>
    </row>
    <row r="813">
      <c r="C813" s="61"/>
      <c r="H813" s="61"/>
      <c r="I813" s="61"/>
      <c r="J813" s="61"/>
      <c r="K813" s="61"/>
    </row>
    <row r="814">
      <c r="C814" s="61"/>
      <c r="H814" s="61"/>
      <c r="I814" s="61"/>
      <c r="J814" s="61"/>
      <c r="K814" s="61"/>
    </row>
    <row r="815">
      <c r="C815" s="61"/>
      <c r="H815" s="61"/>
      <c r="I815" s="61"/>
      <c r="J815" s="61"/>
      <c r="K815" s="61"/>
    </row>
    <row r="816">
      <c r="C816" s="61"/>
      <c r="H816" s="61"/>
      <c r="I816" s="61"/>
      <c r="J816" s="61"/>
      <c r="K816" s="61"/>
    </row>
    <row r="817">
      <c r="C817" s="61"/>
      <c r="H817" s="61"/>
      <c r="I817" s="61"/>
      <c r="J817" s="61"/>
      <c r="K817" s="61"/>
    </row>
    <row r="818">
      <c r="C818" s="61"/>
      <c r="H818" s="61"/>
      <c r="I818" s="61"/>
      <c r="J818" s="61"/>
      <c r="K818" s="61"/>
    </row>
    <row r="819">
      <c r="C819" s="61"/>
      <c r="H819" s="61"/>
      <c r="I819" s="61"/>
      <c r="J819" s="61"/>
      <c r="K819" s="61"/>
    </row>
    <row r="820">
      <c r="C820" s="61"/>
      <c r="H820" s="61"/>
      <c r="I820" s="61"/>
      <c r="J820" s="61"/>
      <c r="K820" s="61"/>
    </row>
    <row r="821">
      <c r="C821" s="61"/>
      <c r="H821" s="61"/>
      <c r="I821" s="61"/>
      <c r="J821" s="61"/>
      <c r="K821" s="61"/>
    </row>
    <row r="822">
      <c r="C822" s="61"/>
      <c r="H822" s="61"/>
      <c r="I822" s="61"/>
      <c r="J822" s="61"/>
      <c r="K822" s="61"/>
    </row>
    <row r="823">
      <c r="C823" s="61"/>
      <c r="H823" s="61"/>
      <c r="I823" s="61"/>
      <c r="J823" s="61"/>
      <c r="K823" s="61"/>
    </row>
    <row r="824">
      <c r="C824" s="61"/>
      <c r="H824" s="61"/>
      <c r="I824" s="61"/>
      <c r="J824" s="61"/>
      <c r="K824" s="61"/>
    </row>
    <row r="825">
      <c r="C825" s="61"/>
      <c r="H825" s="61"/>
      <c r="I825" s="61"/>
      <c r="J825" s="61"/>
      <c r="K825" s="61"/>
    </row>
    <row r="826">
      <c r="C826" s="61"/>
      <c r="H826" s="61"/>
      <c r="I826" s="61"/>
      <c r="J826" s="61"/>
      <c r="K826" s="61"/>
    </row>
    <row r="827">
      <c r="C827" s="61"/>
      <c r="H827" s="61"/>
      <c r="I827" s="61"/>
      <c r="J827" s="61"/>
      <c r="K827" s="61"/>
    </row>
    <row r="828">
      <c r="C828" s="61"/>
      <c r="H828" s="61"/>
      <c r="I828" s="61"/>
      <c r="J828" s="61"/>
      <c r="K828" s="61"/>
    </row>
    <row r="829">
      <c r="C829" s="61"/>
      <c r="H829" s="61"/>
      <c r="I829" s="61"/>
      <c r="J829" s="61"/>
      <c r="K829" s="61"/>
    </row>
    <row r="830">
      <c r="C830" s="61"/>
      <c r="H830" s="61"/>
      <c r="I830" s="61"/>
      <c r="J830" s="61"/>
      <c r="K830" s="61"/>
    </row>
    <row r="831">
      <c r="C831" s="61"/>
      <c r="H831" s="61"/>
      <c r="I831" s="61"/>
      <c r="J831" s="61"/>
      <c r="K831" s="61"/>
    </row>
    <row r="832">
      <c r="C832" s="61"/>
      <c r="H832" s="61"/>
      <c r="I832" s="61"/>
      <c r="J832" s="61"/>
      <c r="K832" s="61"/>
    </row>
    <row r="833">
      <c r="C833" s="61"/>
      <c r="H833" s="61"/>
      <c r="I833" s="61"/>
      <c r="J833" s="61"/>
      <c r="K833" s="61"/>
    </row>
    <row r="834">
      <c r="C834" s="61"/>
      <c r="H834" s="61"/>
      <c r="I834" s="61"/>
      <c r="J834" s="61"/>
      <c r="K834" s="61"/>
    </row>
    <row r="835">
      <c r="C835" s="61"/>
      <c r="H835" s="61"/>
      <c r="I835" s="61"/>
      <c r="J835" s="61"/>
      <c r="K835" s="61"/>
    </row>
    <row r="836">
      <c r="C836" s="61"/>
      <c r="H836" s="61"/>
      <c r="I836" s="61"/>
      <c r="J836" s="61"/>
      <c r="K836" s="61"/>
    </row>
    <row r="837">
      <c r="C837" s="61"/>
      <c r="H837" s="61"/>
      <c r="I837" s="61"/>
      <c r="J837" s="61"/>
      <c r="K837" s="61"/>
    </row>
    <row r="838">
      <c r="C838" s="61"/>
      <c r="H838" s="61"/>
      <c r="I838" s="61"/>
      <c r="J838" s="61"/>
      <c r="K838" s="61"/>
    </row>
    <row r="839">
      <c r="C839" s="61"/>
      <c r="H839" s="61"/>
      <c r="I839" s="61"/>
      <c r="J839" s="61"/>
      <c r="K839" s="61"/>
    </row>
    <row r="840">
      <c r="C840" s="61"/>
      <c r="H840" s="61"/>
      <c r="I840" s="61"/>
      <c r="J840" s="61"/>
      <c r="K840" s="61"/>
    </row>
    <row r="841">
      <c r="C841" s="61"/>
      <c r="H841" s="61"/>
      <c r="I841" s="61"/>
      <c r="J841" s="61"/>
      <c r="K841" s="61"/>
    </row>
    <row r="842">
      <c r="C842" s="61"/>
      <c r="H842" s="61"/>
      <c r="I842" s="61"/>
      <c r="J842" s="61"/>
      <c r="K842" s="61"/>
    </row>
    <row r="843">
      <c r="C843" s="61"/>
      <c r="H843" s="61"/>
      <c r="I843" s="61"/>
      <c r="J843" s="61"/>
      <c r="K843" s="61"/>
    </row>
    <row r="844">
      <c r="C844" s="61"/>
      <c r="H844" s="61"/>
      <c r="I844" s="61"/>
      <c r="J844" s="61"/>
      <c r="K844" s="61"/>
    </row>
    <row r="845">
      <c r="C845" s="61"/>
      <c r="H845" s="61"/>
      <c r="I845" s="61"/>
      <c r="J845" s="61"/>
      <c r="K845" s="61"/>
    </row>
    <row r="846">
      <c r="C846" s="61"/>
      <c r="H846" s="61"/>
      <c r="I846" s="61"/>
      <c r="J846" s="61"/>
      <c r="K846" s="61"/>
    </row>
    <row r="847">
      <c r="C847" s="61"/>
      <c r="H847" s="61"/>
      <c r="I847" s="61"/>
      <c r="J847" s="61"/>
      <c r="K847" s="61"/>
    </row>
    <row r="848">
      <c r="C848" s="61"/>
      <c r="H848" s="61"/>
      <c r="I848" s="61"/>
      <c r="J848" s="61"/>
      <c r="K848" s="61"/>
    </row>
    <row r="849">
      <c r="C849" s="61"/>
      <c r="H849" s="61"/>
      <c r="I849" s="61"/>
      <c r="J849" s="61"/>
      <c r="K849" s="61"/>
    </row>
    <row r="850">
      <c r="C850" s="61"/>
      <c r="H850" s="61"/>
      <c r="I850" s="61"/>
      <c r="J850" s="61"/>
      <c r="K850" s="61"/>
    </row>
    <row r="851">
      <c r="C851" s="61"/>
      <c r="H851" s="61"/>
      <c r="I851" s="61"/>
      <c r="J851" s="61"/>
      <c r="K851" s="61"/>
    </row>
    <row r="852">
      <c r="C852" s="61"/>
      <c r="H852" s="61"/>
      <c r="I852" s="61"/>
      <c r="J852" s="61"/>
      <c r="K852" s="61"/>
    </row>
    <row r="853">
      <c r="C853" s="61"/>
      <c r="H853" s="61"/>
      <c r="I853" s="61"/>
      <c r="J853" s="61"/>
      <c r="K853" s="61"/>
    </row>
    <row r="854">
      <c r="C854" s="61"/>
      <c r="H854" s="61"/>
      <c r="I854" s="61"/>
      <c r="J854" s="61"/>
      <c r="K854" s="61"/>
    </row>
    <row r="855">
      <c r="C855" s="61"/>
      <c r="H855" s="61"/>
      <c r="I855" s="61"/>
      <c r="J855" s="61"/>
      <c r="K855" s="61"/>
    </row>
    <row r="856">
      <c r="C856" s="61"/>
      <c r="H856" s="61"/>
      <c r="I856" s="61"/>
      <c r="J856" s="61"/>
      <c r="K856" s="61"/>
    </row>
    <row r="857">
      <c r="C857" s="61"/>
      <c r="H857" s="61"/>
      <c r="I857" s="61"/>
      <c r="J857" s="61"/>
      <c r="K857" s="61"/>
    </row>
    <row r="858">
      <c r="C858" s="61"/>
      <c r="H858" s="61"/>
      <c r="I858" s="61"/>
      <c r="J858" s="61"/>
      <c r="K858" s="61"/>
    </row>
    <row r="859">
      <c r="C859" s="61"/>
      <c r="H859" s="61"/>
      <c r="I859" s="61"/>
      <c r="J859" s="61"/>
      <c r="K859" s="61"/>
    </row>
    <row r="860">
      <c r="C860" s="61"/>
      <c r="H860" s="61"/>
      <c r="I860" s="61"/>
      <c r="J860" s="61"/>
      <c r="K860" s="61"/>
    </row>
    <row r="861">
      <c r="C861" s="61"/>
      <c r="H861" s="61"/>
      <c r="I861" s="61"/>
      <c r="J861" s="61"/>
      <c r="K861" s="61"/>
    </row>
    <row r="862">
      <c r="C862" s="61"/>
      <c r="H862" s="61"/>
      <c r="I862" s="61"/>
      <c r="J862" s="61"/>
      <c r="K862" s="61"/>
    </row>
    <row r="863">
      <c r="C863" s="61"/>
      <c r="H863" s="61"/>
      <c r="I863" s="61"/>
      <c r="J863" s="61"/>
      <c r="K863" s="61"/>
    </row>
    <row r="864">
      <c r="C864" s="61"/>
      <c r="H864" s="61"/>
      <c r="I864" s="61"/>
      <c r="J864" s="61"/>
      <c r="K864" s="61"/>
    </row>
    <row r="865">
      <c r="C865" s="61"/>
      <c r="H865" s="61"/>
      <c r="I865" s="61"/>
      <c r="J865" s="61"/>
      <c r="K865" s="61"/>
    </row>
    <row r="866">
      <c r="C866" s="61"/>
      <c r="H866" s="61"/>
      <c r="I866" s="61"/>
      <c r="J866" s="61"/>
      <c r="K866" s="61"/>
    </row>
    <row r="867">
      <c r="C867" s="61"/>
      <c r="H867" s="61"/>
      <c r="I867" s="61"/>
      <c r="J867" s="61"/>
      <c r="K867" s="61"/>
    </row>
    <row r="868">
      <c r="C868" s="61"/>
      <c r="H868" s="61"/>
      <c r="I868" s="61"/>
      <c r="J868" s="61"/>
      <c r="K868" s="61"/>
    </row>
    <row r="869">
      <c r="C869" s="61"/>
      <c r="H869" s="61"/>
      <c r="I869" s="61"/>
      <c r="J869" s="61"/>
      <c r="K869" s="61"/>
    </row>
    <row r="870">
      <c r="C870" s="61"/>
      <c r="H870" s="61"/>
      <c r="I870" s="61"/>
      <c r="J870" s="61"/>
      <c r="K870" s="61"/>
    </row>
    <row r="871">
      <c r="C871" s="61"/>
      <c r="H871" s="61"/>
      <c r="I871" s="61"/>
      <c r="J871" s="61"/>
      <c r="K871" s="61"/>
    </row>
    <row r="872">
      <c r="C872" s="61"/>
      <c r="H872" s="61"/>
      <c r="I872" s="61"/>
      <c r="J872" s="61"/>
      <c r="K872" s="61"/>
    </row>
    <row r="873">
      <c r="C873" s="61"/>
      <c r="H873" s="61"/>
      <c r="I873" s="61"/>
      <c r="J873" s="61"/>
      <c r="K873" s="61"/>
    </row>
    <row r="874">
      <c r="C874" s="61"/>
      <c r="H874" s="61"/>
      <c r="I874" s="61"/>
      <c r="J874" s="61"/>
      <c r="K874" s="61"/>
    </row>
    <row r="875">
      <c r="C875" s="61"/>
      <c r="H875" s="61"/>
      <c r="I875" s="61"/>
      <c r="J875" s="61"/>
      <c r="K875" s="61"/>
    </row>
    <row r="876">
      <c r="C876" s="61"/>
      <c r="H876" s="61"/>
      <c r="I876" s="61"/>
      <c r="J876" s="61"/>
      <c r="K876" s="61"/>
    </row>
    <row r="877">
      <c r="C877" s="61"/>
      <c r="H877" s="61"/>
      <c r="I877" s="61"/>
      <c r="J877" s="61"/>
      <c r="K877" s="61"/>
    </row>
    <row r="878">
      <c r="C878" s="61"/>
      <c r="H878" s="61"/>
      <c r="I878" s="61"/>
      <c r="J878" s="61"/>
      <c r="K878" s="61"/>
    </row>
    <row r="879">
      <c r="C879" s="61"/>
      <c r="H879" s="61"/>
      <c r="I879" s="61"/>
      <c r="J879" s="61"/>
      <c r="K879" s="61"/>
    </row>
    <row r="880">
      <c r="C880" s="61"/>
      <c r="H880" s="61"/>
      <c r="I880" s="61"/>
      <c r="J880" s="61"/>
      <c r="K880" s="61"/>
    </row>
    <row r="881">
      <c r="C881" s="61"/>
      <c r="H881" s="61"/>
      <c r="I881" s="61"/>
      <c r="J881" s="61"/>
      <c r="K881" s="61"/>
    </row>
    <row r="882">
      <c r="C882" s="61"/>
      <c r="H882" s="61"/>
      <c r="I882" s="61"/>
      <c r="J882" s="61"/>
      <c r="K882" s="61"/>
    </row>
    <row r="883">
      <c r="C883" s="61"/>
      <c r="H883" s="61"/>
      <c r="I883" s="61"/>
      <c r="J883" s="61"/>
      <c r="K883" s="61"/>
    </row>
    <row r="884">
      <c r="C884" s="61"/>
      <c r="H884" s="61"/>
      <c r="I884" s="61"/>
      <c r="J884" s="61"/>
      <c r="K884" s="61"/>
    </row>
    <row r="885">
      <c r="C885" s="61"/>
      <c r="H885" s="61"/>
      <c r="I885" s="61"/>
      <c r="J885" s="61"/>
      <c r="K885" s="61"/>
    </row>
    <row r="886">
      <c r="C886" s="61"/>
      <c r="H886" s="61"/>
      <c r="I886" s="61"/>
      <c r="J886" s="61"/>
      <c r="K886" s="61"/>
    </row>
    <row r="887">
      <c r="C887" s="61"/>
      <c r="H887" s="61"/>
      <c r="I887" s="61"/>
      <c r="J887" s="61"/>
      <c r="K887" s="61"/>
    </row>
    <row r="888">
      <c r="C888" s="61"/>
      <c r="H888" s="61"/>
      <c r="I888" s="61"/>
      <c r="J888" s="61"/>
      <c r="K888" s="61"/>
    </row>
    <row r="889">
      <c r="C889" s="61"/>
      <c r="H889" s="61"/>
      <c r="I889" s="61"/>
      <c r="J889" s="61"/>
      <c r="K889" s="61"/>
    </row>
    <row r="890">
      <c r="C890" s="61"/>
      <c r="H890" s="61"/>
      <c r="I890" s="61"/>
      <c r="J890" s="61"/>
      <c r="K890" s="61"/>
    </row>
    <row r="891">
      <c r="C891" s="61"/>
      <c r="H891" s="61"/>
      <c r="I891" s="61"/>
      <c r="J891" s="61"/>
      <c r="K891" s="61"/>
    </row>
    <row r="892">
      <c r="C892" s="61"/>
      <c r="H892" s="61"/>
      <c r="I892" s="61"/>
      <c r="J892" s="61"/>
      <c r="K892" s="61"/>
    </row>
    <row r="893">
      <c r="C893" s="61"/>
      <c r="H893" s="61"/>
      <c r="I893" s="61"/>
      <c r="J893" s="61"/>
      <c r="K893" s="61"/>
    </row>
    <row r="894">
      <c r="C894" s="61"/>
      <c r="H894" s="61"/>
      <c r="I894" s="61"/>
      <c r="J894" s="61"/>
      <c r="K894" s="61"/>
    </row>
    <row r="895">
      <c r="C895" s="61"/>
      <c r="H895" s="61"/>
      <c r="I895" s="61"/>
      <c r="J895" s="61"/>
      <c r="K895" s="61"/>
    </row>
    <row r="896">
      <c r="C896" s="61"/>
      <c r="H896" s="61"/>
      <c r="I896" s="61"/>
      <c r="J896" s="61"/>
      <c r="K896" s="61"/>
    </row>
    <row r="897">
      <c r="C897" s="61"/>
      <c r="H897" s="61"/>
      <c r="I897" s="61"/>
      <c r="J897" s="61"/>
      <c r="K897" s="61"/>
    </row>
    <row r="898">
      <c r="C898" s="61"/>
      <c r="H898" s="61"/>
      <c r="I898" s="61"/>
      <c r="J898" s="61"/>
      <c r="K898" s="61"/>
    </row>
    <row r="899">
      <c r="C899" s="61"/>
      <c r="H899" s="61"/>
      <c r="I899" s="61"/>
      <c r="J899" s="61"/>
      <c r="K899" s="61"/>
    </row>
    <row r="900">
      <c r="C900" s="61"/>
      <c r="H900" s="61"/>
      <c r="I900" s="61"/>
      <c r="J900" s="61"/>
      <c r="K900" s="61"/>
    </row>
    <row r="901">
      <c r="C901" s="61"/>
      <c r="H901" s="61"/>
      <c r="I901" s="61"/>
      <c r="J901" s="61"/>
      <c r="K901" s="61"/>
    </row>
    <row r="902">
      <c r="C902" s="61"/>
      <c r="H902" s="61"/>
      <c r="I902" s="61"/>
      <c r="J902" s="61"/>
      <c r="K902" s="61"/>
    </row>
    <row r="903">
      <c r="C903" s="61"/>
      <c r="H903" s="61"/>
      <c r="I903" s="61"/>
      <c r="J903" s="61"/>
      <c r="K903" s="61"/>
    </row>
    <row r="904">
      <c r="C904" s="61"/>
      <c r="H904" s="61"/>
      <c r="I904" s="61"/>
      <c r="J904" s="61"/>
      <c r="K904" s="61"/>
    </row>
    <row r="905">
      <c r="C905" s="61"/>
      <c r="H905" s="61"/>
      <c r="I905" s="61"/>
      <c r="J905" s="61"/>
      <c r="K905" s="61"/>
    </row>
    <row r="906">
      <c r="C906" s="61"/>
      <c r="H906" s="61"/>
      <c r="I906" s="61"/>
      <c r="J906" s="61"/>
      <c r="K906" s="61"/>
    </row>
    <row r="907">
      <c r="C907" s="61"/>
      <c r="H907" s="61"/>
      <c r="I907" s="61"/>
      <c r="J907" s="61"/>
      <c r="K907" s="61"/>
    </row>
    <row r="908">
      <c r="C908" s="61"/>
      <c r="H908" s="61"/>
      <c r="I908" s="61"/>
      <c r="J908" s="61"/>
      <c r="K908" s="61"/>
    </row>
    <row r="909">
      <c r="C909" s="61"/>
      <c r="H909" s="61"/>
      <c r="I909" s="61"/>
      <c r="J909" s="61"/>
      <c r="K909" s="61"/>
    </row>
    <row r="910">
      <c r="C910" s="61"/>
      <c r="H910" s="61"/>
      <c r="I910" s="61"/>
      <c r="J910" s="61"/>
      <c r="K910" s="61"/>
    </row>
    <row r="911">
      <c r="C911" s="61"/>
      <c r="H911" s="61"/>
      <c r="I911" s="61"/>
      <c r="J911" s="61"/>
      <c r="K911" s="61"/>
    </row>
    <row r="912">
      <c r="C912" s="61"/>
      <c r="H912" s="61"/>
      <c r="I912" s="61"/>
      <c r="J912" s="61"/>
      <c r="K912" s="61"/>
    </row>
    <row r="913">
      <c r="C913" s="61"/>
      <c r="H913" s="61"/>
      <c r="I913" s="61"/>
      <c r="J913" s="61"/>
      <c r="K913" s="61"/>
    </row>
    <row r="914">
      <c r="C914" s="61"/>
      <c r="H914" s="61"/>
      <c r="I914" s="61"/>
      <c r="J914" s="61"/>
      <c r="K914" s="61"/>
    </row>
    <row r="915">
      <c r="C915" s="61"/>
      <c r="H915" s="61"/>
      <c r="I915" s="61"/>
      <c r="J915" s="61"/>
      <c r="K915" s="61"/>
    </row>
    <row r="916">
      <c r="C916" s="61"/>
      <c r="H916" s="61"/>
      <c r="I916" s="61"/>
      <c r="J916" s="61"/>
      <c r="K916" s="61"/>
    </row>
    <row r="917">
      <c r="C917" s="61"/>
      <c r="H917" s="61"/>
      <c r="I917" s="61"/>
      <c r="J917" s="61"/>
      <c r="K917" s="61"/>
    </row>
    <row r="918">
      <c r="C918" s="61"/>
      <c r="H918" s="61"/>
      <c r="I918" s="61"/>
      <c r="J918" s="61"/>
      <c r="K918" s="61"/>
    </row>
    <row r="919">
      <c r="C919" s="61"/>
      <c r="H919" s="61"/>
      <c r="I919" s="61"/>
      <c r="J919" s="61"/>
      <c r="K919" s="61"/>
    </row>
    <row r="920">
      <c r="C920" s="61"/>
      <c r="H920" s="61"/>
      <c r="I920" s="61"/>
      <c r="J920" s="61"/>
      <c r="K920" s="61"/>
    </row>
    <row r="921">
      <c r="C921" s="61"/>
      <c r="H921" s="61"/>
      <c r="I921" s="61"/>
      <c r="J921" s="61"/>
      <c r="K921" s="61"/>
    </row>
    <row r="922">
      <c r="C922" s="61"/>
      <c r="H922" s="61"/>
      <c r="I922" s="61"/>
      <c r="J922" s="61"/>
      <c r="K922" s="61"/>
    </row>
    <row r="923">
      <c r="C923" s="61"/>
      <c r="H923" s="61"/>
      <c r="I923" s="61"/>
      <c r="J923" s="61"/>
      <c r="K923" s="61"/>
    </row>
    <row r="924">
      <c r="C924" s="61"/>
      <c r="H924" s="61"/>
      <c r="I924" s="61"/>
      <c r="J924" s="61"/>
      <c r="K924" s="61"/>
    </row>
    <row r="925">
      <c r="C925" s="61"/>
      <c r="H925" s="61"/>
      <c r="I925" s="61"/>
      <c r="J925" s="61"/>
      <c r="K925" s="61"/>
    </row>
    <row r="926">
      <c r="C926" s="61"/>
      <c r="H926" s="61"/>
      <c r="I926" s="61"/>
      <c r="J926" s="61"/>
      <c r="K926" s="61"/>
    </row>
    <row r="927">
      <c r="C927" s="61"/>
      <c r="H927" s="61"/>
      <c r="I927" s="61"/>
      <c r="J927" s="61"/>
      <c r="K927" s="61"/>
    </row>
    <row r="928">
      <c r="C928" s="61"/>
      <c r="H928" s="61"/>
      <c r="I928" s="61"/>
      <c r="J928" s="61"/>
      <c r="K928" s="61"/>
    </row>
    <row r="929">
      <c r="C929" s="61"/>
      <c r="H929" s="61"/>
      <c r="I929" s="61"/>
      <c r="J929" s="61"/>
      <c r="K929" s="61"/>
    </row>
    <row r="930">
      <c r="C930" s="61"/>
      <c r="H930" s="61"/>
      <c r="I930" s="61"/>
      <c r="J930" s="61"/>
      <c r="K930" s="61"/>
    </row>
    <row r="931">
      <c r="C931" s="61"/>
      <c r="H931" s="61"/>
      <c r="I931" s="61"/>
      <c r="J931" s="61"/>
      <c r="K931" s="61"/>
    </row>
    <row r="932">
      <c r="C932" s="61"/>
      <c r="H932" s="61"/>
      <c r="I932" s="61"/>
      <c r="J932" s="61"/>
      <c r="K932" s="61"/>
    </row>
    <row r="933">
      <c r="C933" s="61"/>
      <c r="H933" s="61"/>
      <c r="I933" s="61"/>
      <c r="J933" s="61"/>
      <c r="K933" s="61"/>
    </row>
    <row r="934">
      <c r="C934" s="61"/>
      <c r="H934" s="61"/>
      <c r="I934" s="61"/>
      <c r="J934" s="61"/>
      <c r="K934" s="61"/>
    </row>
    <row r="935">
      <c r="C935" s="61"/>
      <c r="H935" s="61"/>
      <c r="I935" s="61"/>
      <c r="J935" s="61"/>
      <c r="K935" s="61"/>
    </row>
    <row r="936">
      <c r="C936" s="61"/>
      <c r="H936" s="61"/>
      <c r="I936" s="61"/>
      <c r="J936" s="61"/>
      <c r="K936" s="61"/>
    </row>
    <row r="937">
      <c r="C937" s="61"/>
      <c r="H937" s="61"/>
      <c r="I937" s="61"/>
      <c r="J937" s="61"/>
      <c r="K937" s="61"/>
    </row>
    <row r="938">
      <c r="C938" s="61"/>
      <c r="H938" s="61"/>
      <c r="I938" s="61"/>
      <c r="J938" s="61"/>
      <c r="K938" s="61"/>
    </row>
    <row r="939">
      <c r="C939" s="61"/>
      <c r="H939" s="61"/>
      <c r="I939" s="61"/>
      <c r="J939" s="61"/>
      <c r="K939" s="61"/>
    </row>
    <row r="940">
      <c r="C940" s="61"/>
      <c r="H940" s="61"/>
      <c r="I940" s="61"/>
      <c r="J940" s="61"/>
      <c r="K940" s="61"/>
    </row>
    <row r="941">
      <c r="C941" s="61"/>
      <c r="H941" s="61"/>
      <c r="I941" s="61"/>
      <c r="J941" s="61"/>
      <c r="K941" s="61"/>
    </row>
    <row r="942">
      <c r="C942" s="61"/>
      <c r="H942" s="61"/>
      <c r="I942" s="61"/>
      <c r="J942" s="61"/>
      <c r="K942" s="61"/>
    </row>
    <row r="943">
      <c r="C943" s="61"/>
      <c r="H943" s="61"/>
      <c r="I943" s="61"/>
      <c r="J943" s="61"/>
      <c r="K943" s="61"/>
    </row>
    <row r="944">
      <c r="C944" s="61"/>
      <c r="H944" s="61"/>
      <c r="I944" s="61"/>
      <c r="J944" s="61"/>
      <c r="K944" s="61"/>
    </row>
    <row r="945">
      <c r="C945" s="61"/>
      <c r="H945" s="61"/>
      <c r="I945" s="61"/>
      <c r="J945" s="61"/>
      <c r="K945" s="61"/>
    </row>
    <row r="946">
      <c r="C946" s="61"/>
      <c r="H946" s="61"/>
      <c r="I946" s="61"/>
      <c r="J946" s="61"/>
      <c r="K946" s="61"/>
    </row>
    <row r="947">
      <c r="C947" s="61"/>
      <c r="H947" s="61"/>
      <c r="I947" s="61"/>
      <c r="J947" s="61"/>
      <c r="K947" s="61"/>
    </row>
    <row r="948">
      <c r="C948" s="61"/>
      <c r="H948" s="61"/>
      <c r="I948" s="61"/>
      <c r="J948" s="61"/>
      <c r="K948" s="61"/>
    </row>
    <row r="949">
      <c r="C949" s="61"/>
      <c r="H949" s="61"/>
      <c r="I949" s="61"/>
      <c r="J949" s="61"/>
      <c r="K949" s="61"/>
    </row>
    <row r="950">
      <c r="C950" s="61"/>
      <c r="H950" s="61"/>
      <c r="I950" s="61"/>
      <c r="J950" s="61"/>
      <c r="K950" s="61"/>
    </row>
    <row r="951">
      <c r="C951" s="61"/>
      <c r="H951" s="61"/>
      <c r="I951" s="61"/>
      <c r="J951" s="61"/>
      <c r="K951" s="61"/>
    </row>
    <row r="952">
      <c r="C952" s="61"/>
      <c r="H952" s="61"/>
      <c r="I952" s="61"/>
      <c r="J952" s="61"/>
      <c r="K952" s="61"/>
    </row>
    <row r="953">
      <c r="C953" s="61"/>
      <c r="H953" s="61"/>
      <c r="I953" s="61"/>
      <c r="J953" s="61"/>
      <c r="K953" s="61"/>
    </row>
    <row r="954">
      <c r="C954" s="61"/>
      <c r="H954" s="61"/>
      <c r="I954" s="61"/>
      <c r="J954" s="61"/>
      <c r="K954" s="61"/>
    </row>
    <row r="955">
      <c r="C955" s="61"/>
      <c r="H955" s="61"/>
      <c r="I955" s="61"/>
      <c r="J955" s="61"/>
      <c r="K955" s="61"/>
    </row>
    <row r="956">
      <c r="C956" s="61"/>
      <c r="H956" s="61"/>
      <c r="I956" s="61"/>
      <c r="J956" s="61"/>
      <c r="K956" s="61"/>
    </row>
    <row r="957">
      <c r="C957" s="61"/>
      <c r="H957" s="61"/>
      <c r="I957" s="61"/>
      <c r="J957" s="61"/>
      <c r="K957" s="61"/>
    </row>
    <row r="958">
      <c r="C958" s="61"/>
      <c r="H958" s="61"/>
      <c r="I958" s="61"/>
      <c r="J958" s="61"/>
      <c r="K958" s="61"/>
    </row>
    <row r="959">
      <c r="C959" s="61"/>
      <c r="H959" s="61"/>
      <c r="I959" s="61"/>
      <c r="J959" s="61"/>
      <c r="K959" s="61"/>
    </row>
    <row r="960">
      <c r="C960" s="61"/>
      <c r="H960" s="61"/>
      <c r="I960" s="61"/>
      <c r="J960" s="61"/>
      <c r="K960" s="61"/>
    </row>
    <row r="961">
      <c r="C961" s="61"/>
      <c r="H961" s="61"/>
      <c r="I961" s="61"/>
      <c r="J961" s="61"/>
      <c r="K961" s="61"/>
    </row>
    <row r="962">
      <c r="C962" s="61"/>
      <c r="H962" s="61"/>
      <c r="I962" s="61"/>
      <c r="J962" s="61"/>
      <c r="K962" s="61"/>
    </row>
    <row r="963">
      <c r="C963" s="61"/>
      <c r="H963" s="61"/>
      <c r="I963" s="61"/>
      <c r="J963" s="61"/>
      <c r="K963" s="61"/>
    </row>
    <row r="964">
      <c r="C964" s="61"/>
      <c r="H964" s="61"/>
      <c r="I964" s="61"/>
      <c r="J964" s="61"/>
      <c r="K964" s="61"/>
    </row>
    <row r="965">
      <c r="C965" s="61"/>
      <c r="H965" s="61"/>
      <c r="I965" s="61"/>
      <c r="J965" s="61"/>
      <c r="K965" s="61"/>
    </row>
    <row r="966">
      <c r="C966" s="61"/>
      <c r="H966" s="61"/>
      <c r="I966" s="61"/>
      <c r="J966" s="61"/>
      <c r="K966" s="61"/>
    </row>
    <row r="967">
      <c r="C967" s="61"/>
      <c r="H967" s="61"/>
      <c r="I967" s="61"/>
      <c r="J967" s="61"/>
      <c r="K967" s="61"/>
    </row>
    <row r="968">
      <c r="C968" s="61"/>
      <c r="H968" s="61"/>
      <c r="I968" s="61"/>
      <c r="J968" s="61"/>
      <c r="K968" s="61"/>
    </row>
    <row r="969">
      <c r="C969" s="61"/>
      <c r="H969" s="61"/>
      <c r="I969" s="61"/>
      <c r="J969" s="61"/>
      <c r="K969" s="61"/>
    </row>
    <row r="970">
      <c r="C970" s="61"/>
      <c r="H970" s="61"/>
      <c r="I970" s="61"/>
      <c r="J970" s="61"/>
      <c r="K970" s="61"/>
    </row>
    <row r="971">
      <c r="C971" s="61"/>
      <c r="H971" s="61"/>
      <c r="I971" s="61"/>
      <c r="J971" s="61"/>
      <c r="K971" s="61"/>
    </row>
    <row r="972">
      <c r="C972" s="61"/>
      <c r="H972" s="61"/>
      <c r="I972" s="61"/>
      <c r="J972" s="61"/>
      <c r="K972" s="61"/>
    </row>
    <row r="973">
      <c r="C973" s="61"/>
      <c r="H973" s="61"/>
      <c r="I973" s="61"/>
      <c r="J973" s="61"/>
      <c r="K973" s="61"/>
    </row>
    <row r="974">
      <c r="C974" s="61"/>
      <c r="H974" s="61"/>
      <c r="I974" s="61"/>
      <c r="J974" s="61"/>
      <c r="K974" s="61"/>
    </row>
    <row r="975">
      <c r="C975" s="61"/>
      <c r="H975" s="61"/>
      <c r="I975" s="61"/>
      <c r="J975" s="61"/>
      <c r="K975" s="61"/>
    </row>
    <row r="976">
      <c r="C976" s="61"/>
      <c r="H976" s="61"/>
      <c r="I976" s="61"/>
      <c r="J976" s="61"/>
      <c r="K976" s="61"/>
    </row>
    <row r="977">
      <c r="C977" s="61"/>
      <c r="H977" s="61"/>
      <c r="I977" s="61"/>
      <c r="J977" s="61"/>
      <c r="K977" s="61"/>
    </row>
    <row r="978">
      <c r="C978" s="61"/>
      <c r="H978" s="61"/>
      <c r="I978" s="61"/>
      <c r="J978" s="61"/>
      <c r="K978" s="61"/>
    </row>
    <row r="979">
      <c r="C979" s="61"/>
      <c r="H979" s="61"/>
      <c r="I979" s="61"/>
      <c r="J979" s="61"/>
      <c r="K979" s="61"/>
    </row>
    <row r="980">
      <c r="C980" s="61"/>
      <c r="H980" s="61"/>
      <c r="I980" s="61"/>
      <c r="J980" s="61"/>
      <c r="K980" s="61"/>
    </row>
    <row r="981">
      <c r="C981" s="61"/>
      <c r="H981" s="61"/>
      <c r="I981" s="61"/>
      <c r="J981" s="61"/>
      <c r="K981" s="61"/>
    </row>
    <row r="982">
      <c r="C982" s="61"/>
      <c r="H982" s="61"/>
      <c r="I982" s="61"/>
      <c r="J982" s="61"/>
      <c r="K982" s="61"/>
    </row>
    <row r="983">
      <c r="C983" s="61"/>
      <c r="H983" s="61"/>
      <c r="I983" s="61"/>
      <c r="J983" s="61"/>
      <c r="K983" s="61"/>
    </row>
    <row r="984">
      <c r="C984" s="61"/>
      <c r="H984" s="61"/>
      <c r="I984" s="61"/>
      <c r="J984" s="61"/>
      <c r="K984" s="61"/>
    </row>
    <row r="985">
      <c r="C985" s="61"/>
      <c r="H985" s="61"/>
      <c r="I985" s="61"/>
      <c r="J985" s="61"/>
      <c r="K985" s="61"/>
    </row>
    <row r="986">
      <c r="C986" s="61"/>
      <c r="H986" s="61"/>
      <c r="I986" s="61"/>
      <c r="J986" s="61"/>
      <c r="K986" s="61"/>
    </row>
    <row r="987">
      <c r="C987" s="61"/>
      <c r="H987" s="61"/>
      <c r="I987" s="61"/>
      <c r="J987" s="61"/>
      <c r="K987" s="61"/>
    </row>
    <row r="988">
      <c r="C988" s="61"/>
      <c r="H988" s="61"/>
      <c r="I988" s="61"/>
      <c r="J988" s="61"/>
      <c r="K988" s="61"/>
    </row>
    <row r="989">
      <c r="C989" s="61"/>
      <c r="H989" s="61"/>
      <c r="I989" s="61"/>
      <c r="J989" s="61"/>
      <c r="K989" s="61"/>
    </row>
    <row r="990">
      <c r="C990" s="61"/>
      <c r="H990" s="61"/>
      <c r="I990" s="61"/>
      <c r="J990" s="61"/>
      <c r="K990" s="61"/>
    </row>
    <row r="991">
      <c r="C991" s="61"/>
      <c r="H991" s="61"/>
      <c r="I991" s="61"/>
      <c r="J991" s="61"/>
      <c r="K991" s="61"/>
    </row>
    <row r="992">
      <c r="C992" s="61"/>
      <c r="H992" s="61"/>
      <c r="I992" s="61"/>
      <c r="J992" s="61"/>
      <c r="K992" s="61"/>
    </row>
    <row r="993">
      <c r="C993" s="61"/>
      <c r="H993" s="61"/>
      <c r="I993" s="61"/>
      <c r="J993" s="61"/>
      <c r="K993" s="61"/>
    </row>
    <row r="994">
      <c r="C994" s="61"/>
      <c r="H994" s="61"/>
      <c r="I994" s="61"/>
      <c r="J994" s="61"/>
      <c r="K994" s="61"/>
    </row>
    <row r="995">
      <c r="C995" s="61"/>
      <c r="H995" s="61"/>
      <c r="I995" s="61"/>
      <c r="J995" s="61"/>
      <c r="K995" s="61"/>
    </row>
    <row r="996">
      <c r="C996" s="61"/>
      <c r="H996" s="61"/>
      <c r="I996" s="61"/>
      <c r="J996" s="61"/>
      <c r="K996" s="61"/>
    </row>
    <row r="997">
      <c r="C997" s="61"/>
      <c r="H997" s="61"/>
      <c r="I997" s="61"/>
      <c r="J997" s="61"/>
      <c r="K997" s="61"/>
    </row>
    <row r="998">
      <c r="C998" s="61"/>
      <c r="H998" s="61"/>
      <c r="I998" s="61"/>
      <c r="J998" s="61"/>
      <c r="K998" s="61"/>
    </row>
    <row r="999">
      <c r="C999" s="61"/>
      <c r="H999" s="61"/>
      <c r="I999" s="61"/>
      <c r="J999" s="61"/>
      <c r="K999" s="61"/>
    </row>
    <row r="1000">
      <c r="C1000" s="61"/>
      <c r="H1000" s="61"/>
      <c r="I1000" s="61"/>
      <c r="J1000" s="61"/>
      <c r="K1000" s="61"/>
    </row>
    <row r="1001">
      <c r="C1001" s="61"/>
      <c r="H1001" s="61"/>
      <c r="I1001" s="61"/>
      <c r="J1001" s="61"/>
      <c r="K1001" s="61"/>
    </row>
    <row r="1002">
      <c r="C1002" s="61"/>
      <c r="H1002" s="61"/>
      <c r="I1002" s="61"/>
      <c r="J1002" s="61"/>
      <c r="K1002" s="61"/>
    </row>
    <row r="1003">
      <c r="C1003" s="61"/>
      <c r="H1003" s="61"/>
      <c r="I1003" s="61"/>
      <c r="J1003" s="61"/>
      <c r="K1003" s="61"/>
    </row>
    <row r="1004">
      <c r="C1004" s="61"/>
      <c r="H1004" s="61"/>
      <c r="I1004" s="61"/>
      <c r="J1004" s="61"/>
      <c r="K1004" s="61"/>
    </row>
    <row r="1005">
      <c r="C1005" s="61"/>
      <c r="H1005" s="61"/>
      <c r="I1005" s="61"/>
      <c r="J1005" s="61"/>
      <c r="K1005" s="61"/>
    </row>
    <row r="1006">
      <c r="C1006" s="61"/>
      <c r="H1006" s="61"/>
      <c r="I1006" s="61"/>
      <c r="J1006" s="61"/>
      <c r="K1006" s="61"/>
    </row>
    <row r="1007">
      <c r="C1007" s="61"/>
      <c r="H1007" s="61"/>
      <c r="I1007" s="61"/>
      <c r="J1007" s="61"/>
      <c r="K1007" s="61"/>
    </row>
    <row r="1008">
      <c r="C1008" s="61"/>
      <c r="H1008" s="61"/>
      <c r="I1008" s="61"/>
      <c r="J1008" s="61"/>
      <c r="K1008" s="61"/>
    </row>
    <row r="1009">
      <c r="C1009" s="61"/>
      <c r="H1009" s="61"/>
      <c r="I1009" s="61"/>
      <c r="J1009" s="61"/>
      <c r="K1009" s="61"/>
    </row>
    <row r="1010">
      <c r="C1010" s="61"/>
      <c r="H1010" s="61"/>
      <c r="I1010" s="61"/>
      <c r="J1010" s="61"/>
      <c r="K1010" s="61"/>
    </row>
    <row r="1011">
      <c r="C1011" s="61"/>
      <c r="H1011" s="61"/>
      <c r="I1011" s="61"/>
      <c r="J1011" s="61"/>
      <c r="K1011" s="61"/>
    </row>
    <row r="1012">
      <c r="C1012" s="61"/>
      <c r="H1012" s="61"/>
      <c r="I1012" s="61"/>
      <c r="J1012" s="61"/>
      <c r="K1012" s="61"/>
    </row>
    <row r="1013">
      <c r="C1013" s="61"/>
      <c r="H1013" s="61"/>
      <c r="I1013" s="61"/>
      <c r="J1013" s="61"/>
      <c r="K1013" s="61"/>
    </row>
    <row r="1014">
      <c r="C1014" s="61"/>
      <c r="H1014" s="61"/>
      <c r="I1014" s="61"/>
      <c r="J1014" s="61"/>
      <c r="K1014" s="61"/>
    </row>
    <row r="1015">
      <c r="C1015" s="61"/>
      <c r="H1015" s="61"/>
      <c r="I1015" s="61"/>
      <c r="J1015" s="61"/>
      <c r="K1015" s="61"/>
    </row>
    <row r="1016">
      <c r="C1016" s="61"/>
      <c r="H1016" s="61"/>
      <c r="I1016" s="61"/>
      <c r="J1016" s="61"/>
      <c r="K1016" s="61"/>
    </row>
    <row r="1017">
      <c r="C1017" s="61"/>
      <c r="H1017" s="61"/>
      <c r="I1017" s="61"/>
      <c r="J1017" s="61"/>
      <c r="K1017" s="61"/>
    </row>
    <row r="1018">
      <c r="C1018" s="61"/>
      <c r="H1018" s="61"/>
      <c r="I1018" s="61"/>
      <c r="J1018" s="61"/>
      <c r="K1018" s="61"/>
    </row>
    <row r="1019">
      <c r="C1019" s="61"/>
      <c r="H1019" s="61"/>
      <c r="I1019" s="61"/>
      <c r="J1019" s="61"/>
      <c r="K1019" s="61"/>
    </row>
    <row r="1020">
      <c r="C1020" s="61"/>
      <c r="H1020" s="61"/>
      <c r="I1020" s="61"/>
      <c r="J1020" s="61"/>
      <c r="K1020" s="61"/>
    </row>
    <row r="1021">
      <c r="C1021" s="61"/>
      <c r="H1021" s="61"/>
      <c r="I1021" s="61"/>
      <c r="J1021" s="61"/>
      <c r="K1021" s="61"/>
    </row>
    <row r="1022">
      <c r="C1022" s="61"/>
      <c r="H1022" s="61"/>
      <c r="I1022" s="61"/>
      <c r="J1022" s="61"/>
      <c r="K1022" s="61"/>
    </row>
  </sheetData>
  <mergeCells count="20"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C42:S42"/>
    <mergeCell ref="C43:S43"/>
    <mergeCell ref="A1:A5"/>
    <mergeCell ref="B1:O1"/>
    <mergeCell ref="D2:F2"/>
    <mergeCell ref="D3:F3"/>
    <mergeCell ref="B4:O4"/>
    <mergeCell ref="A6:A32"/>
    <mergeCell ref="B6:B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9" t="s">
        <v>23</v>
      </c>
      <c r="U5" s="9" t="s">
        <v>24</v>
      </c>
      <c r="V5" s="9" t="s">
        <v>25</v>
      </c>
      <c r="W5" s="10" t="s">
        <v>26</v>
      </c>
      <c r="X5" s="11" t="s">
        <v>27</v>
      </c>
    </row>
    <row r="6" ht="22.5" customHeight="1">
      <c r="A6" s="1"/>
      <c r="B6" s="12">
        <v>0.0</v>
      </c>
      <c r="C6" s="13" t="s">
        <v>28</v>
      </c>
      <c r="D6" s="14">
        <v>45628.0</v>
      </c>
      <c r="E6" s="14">
        <v>45631.0</v>
      </c>
      <c r="F6" s="15">
        <v>45634.0</v>
      </c>
      <c r="G6" s="14">
        <v>45641.0</v>
      </c>
      <c r="H6" s="14">
        <v>45644.0</v>
      </c>
      <c r="I6" s="14">
        <v>45646.0</v>
      </c>
      <c r="J6" s="14">
        <v>45647.0</v>
      </c>
      <c r="K6" s="15">
        <v>45649.0</v>
      </c>
      <c r="L6" s="16"/>
      <c r="M6" s="16"/>
      <c r="N6" s="17"/>
      <c r="O6" s="17"/>
      <c r="P6" s="18"/>
      <c r="Q6" s="19"/>
      <c r="R6" s="19"/>
      <c r="S6" s="19"/>
      <c r="T6" s="18">
        <v>46003.0</v>
      </c>
      <c r="U6" s="19"/>
      <c r="V6" s="19"/>
      <c r="W6" s="19"/>
      <c r="X6" s="20"/>
      <c r="Y6" s="21"/>
      <c r="Z6" s="21"/>
      <c r="AA6" s="21"/>
      <c r="AB6" s="21"/>
      <c r="AC6" s="21"/>
      <c r="AD6" s="21"/>
      <c r="AE6" s="21"/>
      <c r="AF6" s="21"/>
    </row>
    <row r="7" ht="33.75" customHeight="1">
      <c r="B7" s="22"/>
      <c r="C7" s="23" t="s">
        <v>29</v>
      </c>
      <c r="D7" s="24">
        <v>2.0</v>
      </c>
      <c r="E7" s="24">
        <v>1.5</v>
      </c>
      <c r="F7" s="23">
        <v>0.0</v>
      </c>
      <c r="G7" s="24">
        <v>1.5</v>
      </c>
      <c r="H7" s="23">
        <v>2.0</v>
      </c>
      <c r="I7" s="24">
        <v>1.0</v>
      </c>
      <c r="J7" s="24">
        <v>2.0</v>
      </c>
      <c r="K7" s="23">
        <v>0.0</v>
      </c>
      <c r="L7" s="25"/>
      <c r="M7" s="25"/>
      <c r="N7" s="26"/>
      <c r="O7" s="26"/>
      <c r="P7" s="24"/>
      <c r="Q7" s="19"/>
      <c r="R7" s="19"/>
      <c r="S7" s="24"/>
      <c r="T7" s="24">
        <v>2.0</v>
      </c>
      <c r="U7" s="19"/>
      <c r="V7" s="19"/>
      <c r="W7" s="24">
        <f>SUM(G7:V7)</f>
        <v>8.5</v>
      </c>
      <c r="X7" s="27">
        <v>0.0</v>
      </c>
    </row>
    <row r="8" ht="33.75" customHeight="1">
      <c r="B8" s="28"/>
      <c r="C8" s="29" t="s">
        <v>30</v>
      </c>
      <c r="D8" s="25"/>
      <c r="E8" s="25"/>
      <c r="F8" s="29" t="s">
        <v>31</v>
      </c>
      <c r="G8" s="25"/>
      <c r="H8" s="29" t="s">
        <v>32</v>
      </c>
      <c r="I8" s="25"/>
      <c r="J8" s="25"/>
      <c r="K8" s="29" t="s">
        <v>33</v>
      </c>
      <c r="L8" s="25"/>
      <c r="M8" s="25"/>
      <c r="N8" s="26"/>
      <c r="O8" s="26"/>
      <c r="P8" s="24"/>
      <c r="Q8" s="19"/>
      <c r="R8" s="19"/>
      <c r="S8" s="24"/>
      <c r="T8" s="24"/>
      <c r="U8" s="19"/>
      <c r="V8" s="19"/>
      <c r="W8" s="24"/>
      <c r="X8" s="20"/>
    </row>
    <row r="9" ht="22.5" customHeight="1">
      <c r="B9" s="12">
        <v>1.0</v>
      </c>
      <c r="C9" s="30" t="s">
        <v>34</v>
      </c>
      <c r="D9" s="45">
        <v>45901.0</v>
      </c>
      <c r="E9" s="45">
        <v>45904.0</v>
      </c>
      <c r="F9" s="45">
        <v>45908.0</v>
      </c>
      <c r="G9" s="45">
        <v>45911.0</v>
      </c>
      <c r="H9" s="45">
        <v>45915.0</v>
      </c>
      <c r="I9" s="45">
        <v>45922.0</v>
      </c>
      <c r="J9" s="45">
        <v>45925.0</v>
      </c>
      <c r="K9" s="45">
        <v>45929.0</v>
      </c>
      <c r="L9" s="50"/>
      <c r="M9" s="46"/>
      <c r="N9" s="34"/>
      <c r="O9" s="34"/>
      <c r="P9" s="35"/>
      <c r="Q9" s="36"/>
      <c r="R9" s="36"/>
      <c r="S9" s="36"/>
      <c r="T9" s="36"/>
      <c r="U9" s="36"/>
      <c r="V9" s="36"/>
      <c r="W9" s="36"/>
      <c r="X9" s="20"/>
      <c r="Y9" s="21"/>
      <c r="Z9" s="21"/>
      <c r="AA9" s="21"/>
      <c r="AB9" s="21"/>
      <c r="AC9" s="21"/>
      <c r="AD9" s="21"/>
      <c r="AE9" s="21"/>
      <c r="AF9" s="21"/>
    </row>
    <row r="10" ht="22.5" customHeight="1">
      <c r="B10" s="22"/>
      <c r="C10" s="37" t="s">
        <v>29</v>
      </c>
      <c r="D10" s="38">
        <v>1.5</v>
      </c>
      <c r="E10" s="38">
        <v>1.5</v>
      </c>
      <c r="F10" s="38">
        <v>1.5</v>
      </c>
      <c r="G10" s="38">
        <v>1.5</v>
      </c>
      <c r="H10" s="38">
        <v>1.5</v>
      </c>
      <c r="I10" s="38">
        <v>1.5</v>
      </c>
      <c r="J10" s="38">
        <v>1.5</v>
      </c>
      <c r="K10" s="38">
        <v>1.5</v>
      </c>
      <c r="L10" s="38"/>
      <c r="M10" s="39"/>
      <c r="N10" s="40"/>
      <c r="O10" s="40"/>
      <c r="P10" s="36"/>
      <c r="Q10" s="36"/>
      <c r="R10" s="36"/>
      <c r="S10" s="41"/>
      <c r="T10" s="41"/>
      <c r="U10" s="41"/>
      <c r="V10" s="41"/>
      <c r="W10" s="41">
        <v>12.0</v>
      </c>
      <c r="X10" s="42">
        <f>W10*30000</f>
        <v>360000</v>
      </c>
    </row>
    <row r="11" ht="30.75" customHeight="1">
      <c r="B11" s="28"/>
      <c r="C11" s="43" t="s">
        <v>30</v>
      </c>
      <c r="D11" s="45"/>
      <c r="E11" s="45"/>
      <c r="F11" s="38"/>
      <c r="G11" s="45"/>
      <c r="H11" s="45"/>
      <c r="I11" s="45"/>
      <c r="J11" s="38"/>
      <c r="K11" s="39"/>
      <c r="L11" s="39"/>
      <c r="M11" s="39"/>
      <c r="N11" s="40"/>
      <c r="O11" s="40"/>
      <c r="P11" s="36"/>
      <c r="Q11" s="36"/>
      <c r="R11" s="36"/>
      <c r="S11" s="36"/>
      <c r="T11" s="36"/>
      <c r="U11" s="36"/>
      <c r="V11" s="36"/>
      <c r="W11" s="36"/>
      <c r="X11" s="20"/>
    </row>
    <row r="12" ht="22.5" customHeight="1">
      <c r="B12" s="12">
        <v>2.0</v>
      </c>
      <c r="C12" s="30" t="s">
        <v>60</v>
      </c>
      <c r="D12" s="45">
        <v>45903.0</v>
      </c>
      <c r="E12" s="45">
        <v>45908.0</v>
      </c>
      <c r="F12" s="45">
        <v>45910.0</v>
      </c>
      <c r="G12" s="45">
        <v>45915.0</v>
      </c>
      <c r="H12" s="45">
        <v>45917.0</v>
      </c>
      <c r="I12" s="63">
        <v>45922.0</v>
      </c>
      <c r="J12" s="45">
        <v>45924.0</v>
      </c>
      <c r="K12" s="45">
        <v>45929.0</v>
      </c>
      <c r="L12" s="45"/>
      <c r="M12" s="45"/>
      <c r="N12" s="45"/>
      <c r="O12" s="34"/>
      <c r="P12" s="36"/>
      <c r="Q12" s="36"/>
      <c r="R12" s="36"/>
      <c r="S12" s="36"/>
      <c r="T12" s="36"/>
      <c r="U12" s="36"/>
      <c r="V12" s="36"/>
      <c r="W12" s="36"/>
      <c r="X12" s="42">
        <f>S12*20000</f>
        <v>0</v>
      </c>
      <c r="Y12" s="21"/>
      <c r="Z12" s="21"/>
      <c r="AA12" s="21"/>
      <c r="AB12" s="21"/>
      <c r="AC12" s="21"/>
      <c r="AD12" s="21"/>
      <c r="AE12" s="21"/>
      <c r="AF12" s="21"/>
    </row>
    <row r="13" ht="22.5" customHeight="1">
      <c r="B13" s="22"/>
      <c r="C13" s="37" t="s">
        <v>29</v>
      </c>
      <c r="D13" s="38">
        <v>2.0</v>
      </c>
      <c r="E13" s="38">
        <v>2.0</v>
      </c>
      <c r="F13" s="38">
        <v>2.0</v>
      </c>
      <c r="G13" s="38">
        <v>2.0</v>
      </c>
      <c r="H13" s="38">
        <v>2.0</v>
      </c>
      <c r="I13" s="38">
        <v>0.0</v>
      </c>
      <c r="J13" s="38">
        <v>2.0</v>
      </c>
      <c r="K13" s="38">
        <v>2.0</v>
      </c>
      <c r="L13" s="38"/>
      <c r="M13" s="38"/>
      <c r="N13" s="38"/>
      <c r="O13" s="40"/>
      <c r="P13" s="36"/>
      <c r="Q13" s="36"/>
      <c r="R13" s="36"/>
      <c r="S13" s="36"/>
      <c r="T13" s="36"/>
      <c r="U13" s="36"/>
      <c r="V13" s="36"/>
      <c r="W13" s="41">
        <v>14.0</v>
      </c>
      <c r="X13" s="42">
        <f>W13*30000</f>
        <v>420000</v>
      </c>
    </row>
    <row r="14" ht="29.25" customHeight="1">
      <c r="B14" s="28"/>
      <c r="C14" s="43" t="s">
        <v>30</v>
      </c>
      <c r="D14" s="45"/>
      <c r="E14" s="45"/>
      <c r="F14" s="45"/>
      <c r="G14" s="38"/>
      <c r="H14" s="38"/>
      <c r="I14" s="44" t="s">
        <v>49</v>
      </c>
      <c r="J14" s="45"/>
      <c r="K14" s="38"/>
      <c r="L14" s="39"/>
      <c r="M14" s="38"/>
      <c r="N14" s="40"/>
      <c r="O14" s="40"/>
      <c r="P14" s="36"/>
      <c r="Q14" s="36"/>
      <c r="R14" s="36"/>
      <c r="S14" s="36"/>
      <c r="T14" s="36"/>
      <c r="U14" s="36"/>
      <c r="V14" s="36"/>
      <c r="W14" s="36"/>
      <c r="X14" s="42">
        <f>S14*20000</f>
        <v>0</v>
      </c>
    </row>
    <row r="15" ht="22.5" customHeight="1">
      <c r="B15" s="12">
        <v>3.0</v>
      </c>
      <c r="C15" s="30" t="s">
        <v>37</v>
      </c>
      <c r="D15" s="45">
        <v>45906.0</v>
      </c>
      <c r="E15" s="45">
        <v>45913.0</v>
      </c>
      <c r="F15" s="45">
        <v>45920.0</v>
      </c>
      <c r="G15" s="63">
        <v>45927.0</v>
      </c>
      <c r="H15" s="45"/>
      <c r="I15" s="50"/>
      <c r="J15" s="50"/>
      <c r="K15" s="50"/>
      <c r="L15" s="46"/>
      <c r="M15" s="46"/>
      <c r="N15" s="34"/>
      <c r="O15" s="34"/>
      <c r="P15" s="36"/>
      <c r="Q15" s="36"/>
      <c r="R15" s="36"/>
      <c r="S15" s="36"/>
      <c r="T15" s="36"/>
      <c r="U15" s="36"/>
      <c r="V15" s="36"/>
      <c r="W15" s="36"/>
      <c r="X15" s="20"/>
      <c r="Y15" s="21"/>
      <c r="Z15" s="21"/>
      <c r="AA15" s="21"/>
      <c r="AB15" s="21"/>
      <c r="AC15" s="21"/>
      <c r="AD15" s="21"/>
      <c r="AE15" s="21"/>
      <c r="AF15" s="21"/>
    </row>
    <row r="16" ht="22.5" customHeight="1">
      <c r="B16" s="22"/>
      <c r="C16" s="37" t="s">
        <v>29</v>
      </c>
      <c r="D16" s="38">
        <v>1.0</v>
      </c>
      <c r="E16" s="38">
        <v>1.0</v>
      </c>
      <c r="F16" s="38">
        <v>1.0</v>
      </c>
      <c r="G16" s="81">
        <v>0.0</v>
      </c>
      <c r="H16" s="38"/>
      <c r="I16" s="45"/>
      <c r="J16" s="45"/>
      <c r="K16" s="45"/>
      <c r="L16" s="39"/>
      <c r="M16" s="39"/>
      <c r="N16" s="40"/>
      <c r="O16" s="40"/>
      <c r="P16" s="49"/>
      <c r="Q16" s="49"/>
      <c r="R16" s="49"/>
      <c r="S16" s="36"/>
      <c r="T16" s="36"/>
      <c r="U16" s="36"/>
      <c r="V16" s="36"/>
      <c r="W16" s="41">
        <v>3.0</v>
      </c>
      <c r="X16" s="42">
        <f>W16*30000</f>
        <v>90000</v>
      </c>
    </row>
    <row r="17" ht="36.0" customHeight="1">
      <c r="B17" s="28"/>
      <c r="C17" s="43" t="s">
        <v>30</v>
      </c>
      <c r="D17" s="45"/>
      <c r="E17" s="45"/>
      <c r="F17" s="45"/>
      <c r="G17" s="44" t="s">
        <v>89</v>
      </c>
      <c r="H17" s="45"/>
      <c r="I17" s="45"/>
      <c r="J17" s="45"/>
      <c r="K17" s="45"/>
      <c r="L17" s="39"/>
      <c r="M17" s="39"/>
      <c r="N17" s="40"/>
      <c r="O17" s="40"/>
      <c r="P17" s="49"/>
      <c r="Q17" s="49"/>
      <c r="R17" s="49"/>
      <c r="S17" s="36"/>
      <c r="T17" s="36"/>
      <c r="U17" s="36"/>
      <c r="V17" s="36"/>
      <c r="W17" s="36"/>
      <c r="X17" s="42">
        <f>S17*20000</f>
        <v>0</v>
      </c>
    </row>
    <row r="18" ht="22.5" customHeight="1">
      <c r="B18" s="12">
        <v>4.0</v>
      </c>
      <c r="C18" s="30" t="s">
        <v>39</v>
      </c>
      <c r="D18" s="45">
        <v>45901.0</v>
      </c>
      <c r="E18" s="45">
        <v>45903.0</v>
      </c>
      <c r="F18" s="45">
        <v>45908.0</v>
      </c>
      <c r="G18" s="45">
        <v>45910.0</v>
      </c>
      <c r="H18" s="45">
        <v>45915.0</v>
      </c>
      <c r="I18" s="45">
        <v>45922.0</v>
      </c>
      <c r="J18" s="45">
        <v>45924.0</v>
      </c>
      <c r="K18" s="45"/>
      <c r="L18" s="50"/>
      <c r="M18" s="50"/>
      <c r="N18" s="45"/>
      <c r="O18" s="34"/>
      <c r="P18" s="49"/>
      <c r="Q18" s="49"/>
      <c r="R18" s="49"/>
      <c r="S18" s="36"/>
      <c r="T18" s="36"/>
      <c r="U18" s="36"/>
      <c r="V18" s="36"/>
      <c r="W18" s="36"/>
      <c r="X18" s="20"/>
      <c r="Y18" s="21"/>
      <c r="Z18" s="21"/>
      <c r="AA18" s="21"/>
      <c r="AB18" s="21"/>
      <c r="AC18" s="21"/>
      <c r="AD18" s="21"/>
      <c r="AE18" s="21"/>
      <c r="AF18" s="21"/>
    </row>
    <row r="19" ht="22.5" customHeight="1">
      <c r="B19" s="22"/>
      <c r="C19" s="43" t="s">
        <v>29</v>
      </c>
      <c r="D19" s="38">
        <v>1.5</v>
      </c>
      <c r="E19" s="38">
        <v>1.5</v>
      </c>
      <c r="F19" s="38">
        <v>1.5</v>
      </c>
      <c r="G19" s="38">
        <v>1.5</v>
      </c>
      <c r="H19" s="38">
        <v>1.5</v>
      </c>
      <c r="I19" s="38">
        <v>1.5</v>
      </c>
      <c r="J19" s="38">
        <v>1.5</v>
      </c>
      <c r="K19" s="38"/>
      <c r="L19" s="39"/>
      <c r="M19" s="39"/>
      <c r="N19" s="40"/>
      <c r="O19" s="40"/>
      <c r="P19" s="49"/>
      <c r="Q19" s="49"/>
      <c r="R19" s="49"/>
      <c r="S19" s="36"/>
      <c r="T19" s="36"/>
      <c r="U19" s="36"/>
      <c r="V19" s="36"/>
      <c r="W19" s="41">
        <v>10.5</v>
      </c>
      <c r="X19" s="42">
        <f>W19*30000</f>
        <v>315000</v>
      </c>
    </row>
    <row r="20" ht="30.75" customHeight="1">
      <c r="B20" s="28"/>
      <c r="C20" s="43" t="s">
        <v>30</v>
      </c>
      <c r="D20" s="44"/>
      <c r="E20" s="44"/>
      <c r="F20" s="45"/>
      <c r="G20" s="45"/>
      <c r="H20" s="45"/>
      <c r="I20" s="38"/>
      <c r="J20" s="38"/>
      <c r="K20" s="38"/>
      <c r="L20" s="39"/>
      <c r="M20" s="39"/>
      <c r="N20" s="40"/>
      <c r="O20" s="40"/>
      <c r="P20" s="49"/>
      <c r="Q20" s="49"/>
      <c r="R20" s="49"/>
      <c r="S20" s="36"/>
      <c r="T20" s="36"/>
      <c r="U20" s="36"/>
      <c r="V20" s="36"/>
      <c r="W20" s="36"/>
      <c r="X20" s="42"/>
    </row>
    <row r="21" ht="22.5" customHeight="1">
      <c r="B21" s="12">
        <v>5.0</v>
      </c>
      <c r="C21" s="30" t="s">
        <v>40</v>
      </c>
      <c r="D21" s="45">
        <v>45902.0</v>
      </c>
      <c r="E21" s="45">
        <v>45904.0</v>
      </c>
      <c r="F21" s="45">
        <v>45909.0</v>
      </c>
      <c r="G21" s="45">
        <v>45911.0</v>
      </c>
      <c r="H21" s="45">
        <v>45916.0</v>
      </c>
      <c r="I21" s="45">
        <v>45923.0</v>
      </c>
      <c r="J21" s="45">
        <v>45925.0</v>
      </c>
      <c r="K21" s="45"/>
      <c r="L21" s="45"/>
      <c r="M21" s="45"/>
      <c r="N21" s="45"/>
      <c r="O21" s="34"/>
      <c r="P21" s="36"/>
      <c r="Q21" s="36"/>
      <c r="R21" s="36"/>
      <c r="S21" s="36"/>
      <c r="T21" s="36"/>
      <c r="U21" s="36"/>
      <c r="V21" s="36"/>
      <c r="W21" s="36"/>
      <c r="X21" s="42">
        <f>S21*20000</f>
        <v>0</v>
      </c>
      <c r="Y21" s="21"/>
      <c r="Z21" s="21"/>
      <c r="AA21" s="21"/>
      <c r="AB21" s="21"/>
      <c r="AC21" s="21"/>
      <c r="AD21" s="21"/>
      <c r="AE21" s="21"/>
      <c r="AF21" s="21"/>
    </row>
    <row r="22" ht="22.5" customHeight="1">
      <c r="B22" s="22"/>
      <c r="C22" s="43" t="s">
        <v>29</v>
      </c>
      <c r="D22" s="38">
        <v>1.5</v>
      </c>
      <c r="E22" s="38">
        <v>1.5</v>
      </c>
      <c r="F22" s="38">
        <v>1.5</v>
      </c>
      <c r="G22" s="38">
        <v>1.5</v>
      </c>
      <c r="H22" s="38">
        <v>1.5</v>
      </c>
      <c r="I22" s="38">
        <v>1.5</v>
      </c>
      <c r="J22" s="38">
        <v>1.5</v>
      </c>
      <c r="K22" s="38"/>
      <c r="L22" s="39"/>
      <c r="M22" s="39"/>
      <c r="N22" s="40"/>
      <c r="O22" s="40"/>
      <c r="P22" s="36"/>
      <c r="Q22" s="36"/>
      <c r="R22" s="36"/>
      <c r="S22" s="36"/>
      <c r="T22" s="36"/>
      <c r="U22" s="36"/>
      <c r="V22" s="36"/>
      <c r="W22" s="41">
        <v>10.5</v>
      </c>
      <c r="X22" s="42">
        <f>W22*30000</f>
        <v>315000</v>
      </c>
    </row>
    <row r="23" ht="22.5" customHeight="1">
      <c r="B23" s="28"/>
      <c r="C23" s="43" t="s">
        <v>30</v>
      </c>
      <c r="D23" s="44"/>
      <c r="E23" s="44"/>
      <c r="F23" s="45"/>
      <c r="G23" s="45"/>
      <c r="H23" s="45"/>
      <c r="I23" s="44"/>
      <c r="J23" s="45"/>
      <c r="K23" s="45"/>
      <c r="L23" s="39"/>
      <c r="M23" s="39"/>
      <c r="N23" s="40"/>
      <c r="O23" s="40"/>
      <c r="P23" s="36"/>
      <c r="Q23" s="36"/>
      <c r="R23" s="36"/>
      <c r="S23" s="36"/>
      <c r="T23" s="36"/>
      <c r="U23" s="36"/>
      <c r="V23" s="36"/>
      <c r="W23" s="36"/>
      <c r="X23" s="42">
        <f t="shared" ref="X23:X24" si="1">S23*20000</f>
        <v>0</v>
      </c>
    </row>
    <row r="24" ht="22.5" customHeight="1">
      <c r="B24" s="12">
        <v>6.0</v>
      </c>
      <c r="C24" s="76" t="s">
        <v>75</v>
      </c>
      <c r="D24" s="75">
        <v>45902.0</v>
      </c>
      <c r="E24" s="75">
        <v>45903.0</v>
      </c>
      <c r="F24" s="75">
        <v>45905.0</v>
      </c>
      <c r="G24" s="75">
        <v>45909.0</v>
      </c>
      <c r="H24" s="75">
        <v>45910.0</v>
      </c>
      <c r="I24" s="75">
        <v>45912.0</v>
      </c>
      <c r="J24" s="75">
        <v>45916.0</v>
      </c>
      <c r="K24" s="82">
        <v>45917.0</v>
      </c>
      <c r="L24" s="75">
        <v>45919.0</v>
      </c>
      <c r="M24" s="75">
        <v>45923.0</v>
      </c>
      <c r="N24" s="75">
        <v>45924.0</v>
      </c>
      <c r="O24" s="75">
        <v>45926.0</v>
      </c>
      <c r="P24" s="75">
        <v>45930.0</v>
      </c>
      <c r="Q24" s="75"/>
      <c r="R24" s="75"/>
      <c r="S24" s="41"/>
      <c r="T24" s="41"/>
      <c r="U24" s="41"/>
      <c r="V24" s="41"/>
      <c r="W24" s="41"/>
      <c r="X24" s="42">
        <f t="shared" si="1"/>
        <v>0</v>
      </c>
      <c r="Y24" s="21"/>
      <c r="Z24" s="21"/>
      <c r="AA24" s="21"/>
      <c r="AB24" s="21"/>
      <c r="AC24" s="21"/>
      <c r="AD24" s="21"/>
      <c r="AE24" s="21"/>
      <c r="AF24" s="21"/>
    </row>
    <row r="25" ht="22.5" customHeight="1">
      <c r="B25" s="22"/>
      <c r="C25" s="83" t="s">
        <v>29</v>
      </c>
      <c r="D25" s="78">
        <v>2.0</v>
      </c>
      <c r="E25" s="78">
        <v>2.0</v>
      </c>
      <c r="F25" s="78">
        <v>2.0</v>
      </c>
      <c r="G25" s="78">
        <v>2.0</v>
      </c>
      <c r="H25" s="78">
        <v>2.0</v>
      </c>
      <c r="I25" s="78">
        <v>2.0</v>
      </c>
      <c r="J25" s="78">
        <v>2.0</v>
      </c>
      <c r="K25" s="43">
        <v>2.0</v>
      </c>
      <c r="L25" s="43">
        <v>2.0</v>
      </c>
      <c r="M25" s="43">
        <v>2.0</v>
      </c>
      <c r="N25" s="43">
        <v>2.0</v>
      </c>
      <c r="O25" s="43">
        <v>2.0</v>
      </c>
      <c r="P25" s="43">
        <v>1.5</v>
      </c>
      <c r="Q25" s="36"/>
      <c r="R25" s="36"/>
      <c r="S25" s="41"/>
      <c r="T25" s="41"/>
      <c r="U25" s="41"/>
      <c r="V25" s="41"/>
      <c r="W25" s="41">
        <v>25.5</v>
      </c>
      <c r="X25" s="42">
        <f>W25*55000</f>
        <v>1402500</v>
      </c>
      <c r="Y25" s="21"/>
      <c r="Z25" s="84"/>
      <c r="AA25" s="21"/>
      <c r="AB25" s="21"/>
      <c r="AC25" s="21"/>
      <c r="AD25" s="21"/>
      <c r="AE25" s="21"/>
      <c r="AF25" s="21"/>
    </row>
    <row r="26" ht="20.25" customHeight="1">
      <c r="B26" s="28"/>
      <c r="C26" s="83" t="s">
        <v>30</v>
      </c>
      <c r="D26" s="76" t="s">
        <v>84</v>
      </c>
      <c r="E26" s="76" t="s">
        <v>84</v>
      </c>
      <c r="F26" s="76" t="s">
        <v>84</v>
      </c>
      <c r="G26" s="76" t="s">
        <v>84</v>
      </c>
      <c r="H26" s="76" t="s">
        <v>84</v>
      </c>
      <c r="I26" s="76" t="s">
        <v>84</v>
      </c>
      <c r="J26" s="76" t="s">
        <v>84</v>
      </c>
      <c r="K26" s="76" t="s">
        <v>84</v>
      </c>
      <c r="L26" s="76" t="s">
        <v>84</v>
      </c>
      <c r="M26" s="76" t="s">
        <v>84</v>
      </c>
      <c r="N26" s="76" t="s">
        <v>84</v>
      </c>
      <c r="O26" s="76" t="s">
        <v>84</v>
      </c>
      <c r="P26" s="76" t="s">
        <v>84</v>
      </c>
      <c r="Q26" s="44"/>
      <c r="R26" s="36"/>
      <c r="S26" s="36"/>
      <c r="T26" s="36"/>
      <c r="U26" s="36"/>
      <c r="V26" s="36"/>
      <c r="W26" s="36"/>
      <c r="X26" s="42">
        <f>S26*20000</f>
        <v>0</v>
      </c>
    </row>
    <row r="27" ht="20.25" customHeight="1">
      <c r="B27" s="12">
        <v>7.0</v>
      </c>
      <c r="C27" s="76" t="s">
        <v>75</v>
      </c>
      <c r="D27" s="75"/>
      <c r="E27" s="75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44"/>
      <c r="R27" s="36"/>
      <c r="S27" s="36"/>
      <c r="T27" s="36"/>
      <c r="U27" s="36"/>
      <c r="V27" s="36"/>
      <c r="W27" s="36"/>
      <c r="X27" s="42"/>
    </row>
    <row r="28" ht="20.25" customHeight="1">
      <c r="B28" s="22"/>
      <c r="C28" s="83" t="s">
        <v>29</v>
      </c>
      <c r="D28" s="78"/>
      <c r="E28" s="78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44"/>
      <c r="R28" s="36"/>
      <c r="S28" s="36"/>
      <c r="T28" s="36"/>
      <c r="U28" s="36"/>
      <c r="V28" s="36"/>
      <c r="W28" s="36"/>
      <c r="X28" s="42"/>
    </row>
    <row r="29" ht="20.25" customHeight="1">
      <c r="B29" s="28"/>
      <c r="C29" s="83" t="s">
        <v>30</v>
      </c>
      <c r="D29" s="77"/>
      <c r="E29" s="77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44"/>
      <c r="R29" s="36"/>
      <c r="S29" s="36"/>
      <c r="T29" s="36"/>
      <c r="U29" s="36"/>
      <c r="V29" s="36"/>
      <c r="W29" s="36"/>
      <c r="X29" s="42"/>
    </row>
    <row r="30" ht="22.5" customHeight="1">
      <c r="B30" s="12">
        <v>8.0</v>
      </c>
      <c r="C30" s="30" t="s">
        <v>55</v>
      </c>
      <c r="D30" s="45">
        <v>45908.0</v>
      </c>
      <c r="E30" s="45">
        <v>45911.0</v>
      </c>
      <c r="F30" s="45">
        <v>45915.0</v>
      </c>
      <c r="G30" s="63">
        <v>45922.0</v>
      </c>
      <c r="H30" s="45">
        <v>45929.0</v>
      </c>
      <c r="I30" s="50"/>
      <c r="J30" s="50"/>
      <c r="K30" s="45"/>
      <c r="L30" s="45"/>
      <c r="M30" s="45"/>
      <c r="N30" s="45"/>
      <c r="O30" s="45"/>
      <c r="P30" s="45"/>
      <c r="Q30" s="36"/>
      <c r="R30" s="36"/>
      <c r="S30" s="36"/>
      <c r="T30" s="36"/>
      <c r="U30" s="36"/>
      <c r="V30" s="36"/>
      <c r="W30" s="36"/>
      <c r="X30" s="42">
        <f>S30*20000</f>
        <v>0</v>
      </c>
      <c r="Y30" s="21"/>
      <c r="Z30" s="21"/>
      <c r="AA30" s="21"/>
      <c r="AB30" s="21"/>
      <c r="AC30" s="21"/>
      <c r="AD30" s="21"/>
      <c r="AE30" s="21"/>
      <c r="AF30" s="21"/>
    </row>
    <row r="31" ht="22.5" customHeight="1">
      <c r="B31" s="22"/>
      <c r="C31" s="83" t="s">
        <v>29</v>
      </c>
      <c r="D31" s="43">
        <v>2.0</v>
      </c>
      <c r="E31" s="43">
        <v>2.0</v>
      </c>
      <c r="F31" s="43">
        <v>2.0</v>
      </c>
      <c r="G31" s="43">
        <v>0.0</v>
      </c>
      <c r="H31" s="43">
        <v>2.0</v>
      </c>
      <c r="I31" s="43"/>
      <c r="J31" s="64"/>
      <c r="K31" s="64"/>
      <c r="L31" s="64"/>
      <c r="M31" s="64"/>
      <c r="N31" s="34"/>
      <c r="O31" s="34"/>
      <c r="P31" s="36"/>
      <c r="Q31" s="36"/>
      <c r="R31" s="36"/>
      <c r="S31" s="36"/>
      <c r="T31" s="36"/>
      <c r="U31" s="36"/>
      <c r="V31" s="36"/>
      <c r="W31" s="41">
        <v>8.0</v>
      </c>
      <c r="X31" s="42">
        <f>W31*30000</f>
        <v>240000</v>
      </c>
      <c r="Y31" s="21"/>
      <c r="Z31" s="21"/>
      <c r="AA31" s="21"/>
      <c r="AB31" s="21"/>
      <c r="AC31" s="21"/>
      <c r="AD31" s="21"/>
      <c r="AE31" s="21"/>
      <c r="AF31" s="21"/>
    </row>
    <row r="32" ht="21.75" customHeight="1">
      <c r="B32" s="28"/>
      <c r="C32" s="83" t="s">
        <v>30</v>
      </c>
      <c r="D32" s="44"/>
      <c r="E32" s="44"/>
      <c r="F32" s="44"/>
      <c r="G32" s="44" t="s">
        <v>49</v>
      </c>
      <c r="H32" s="44"/>
      <c r="I32" s="44"/>
      <c r="J32" s="39"/>
      <c r="K32" s="39"/>
      <c r="L32" s="39"/>
      <c r="M32" s="39"/>
      <c r="N32" s="40"/>
      <c r="O32" s="40"/>
      <c r="P32" s="36"/>
      <c r="Q32" s="36"/>
      <c r="R32" s="36"/>
      <c r="S32" s="36"/>
      <c r="T32" s="36"/>
      <c r="U32" s="36"/>
      <c r="V32" s="36"/>
      <c r="W32" s="36"/>
      <c r="X32" s="42">
        <f>S32*20000</f>
        <v>0</v>
      </c>
    </row>
    <row r="33" ht="21.75" customHeight="1">
      <c r="A33" s="1"/>
      <c r="B33" s="12">
        <v>9.0</v>
      </c>
      <c r="C33" s="77" t="s">
        <v>45</v>
      </c>
      <c r="D33" s="45">
        <v>45922.0</v>
      </c>
      <c r="E33" s="63">
        <v>45929.0</v>
      </c>
      <c r="F33" s="44"/>
      <c r="G33" s="44"/>
      <c r="H33" s="44"/>
      <c r="I33" s="44"/>
      <c r="J33" s="39"/>
      <c r="K33" s="39"/>
      <c r="L33" s="39"/>
      <c r="M33" s="39"/>
      <c r="N33" s="40"/>
      <c r="O33" s="40"/>
      <c r="P33" s="36"/>
      <c r="Q33" s="36"/>
      <c r="R33" s="36"/>
      <c r="S33" s="36"/>
      <c r="T33" s="36"/>
      <c r="U33" s="36"/>
      <c r="V33" s="36"/>
      <c r="W33" s="36"/>
      <c r="X33" s="42"/>
    </row>
    <row r="34" ht="21.75" customHeight="1">
      <c r="A34" s="1"/>
      <c r="B34" s="22"/>
      <c r="C34" s="83" t="s">
        <v>29</v>
      </c>
      <c r="D34" s="66">
        <v>2.0</v>
      </c>
      <c r="E34" s="44">
        <v>0.0</v>
      </c>
      <c r="F34" s="44"/>
      <c r="G34" s="44"/>
      <c r="H34" s="44"/>
      <c r="I34" s="44"/>
      <c r="J34" s="39"/>
      <c r="K34" s="39"/>
      <c r="L34" s="39"/>
      <c r="M34" s="39"/>
      <c r="N34" s="40"/>
      <c r="O34" s="40"/>
      <c r="P34" s="36"/>
      <c r="Q34" s="36"/>
      <c r="R34" s="36"/>
      <c r="S34" s="36"/>
      <c r="T34" s="36"/>
      <c r="U34" s="36"/>
      <c r="V34" s="36"/>
      <c r="W34" s="41">
        <v>2.0</v>
      </c>
      <c r="X34" s="42">
        <f>W34*30000</f>
        <v>60000</v>
      </c>
    </row>
    <row r="35" ht="21.75" customHeight="1">
      <c r="A35" s="1"/>
      <c r="B35" s="28"/>
      <c r="C35" s="83" t="s">
        <v>30</v>
      </c>
      <c r="D35" s="44"/>
      <c r="E35" s="44" t="s">
        <v>49</v>
      </c>
      <c r="F35" s="44"/>
      <c r="G35" s="44"/>
      <c r="H35" s="44"/>
      <c r="I35" s="44"/>
      <c r="J35" s="39"/>
      <c r="K35" s="39"/>
      <c r="L35" s="39"/>
      <c r="M35" s="39"/>
      <c r="N35" s="40"/>
      <c r="O35" s="40"/>
      <c r="P35" s="36"/>
      <c r="Q35" s="36"/>
      <c r="R35" s="36"/>
      <c r="S35" s="36"/>
      <c r="T35" s="36"/>
      <c r="U35" s="36"/>
      <c r="V35" s="36"/>
      <c r="W35" s="36"/>
      <c r="X35" s="42"/>
    </row>
    <row r="36">
      <c r="A36" s="1"/>
      <c r="B36" s="30" t="s">
        <v>46</v>
      </c>
      <c r="C36" s="6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  <c r="T36" s="39"/>
      <c r="U36" s="39"/>
      <c r="V36" s="39"/>
      <c r="W36" s="39"/>
      <c r="X36" s="68">
        <f>SUM(X10:X35)</f>
        <v>3202500</v>
      </c>
    </row>
    <row r="37">
      <c r="A37" s="1"/>
      <c r="B37" s="30" t="s">
        <v>47</v>
      </c>
      <c r="C37" s="6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  <c r="T37" s="39"/>
      <c r="U37" s="39"/>
      <c r="V37" s="39"/>
      <c r="W37" s="39"/>
      <c r="X37" s="68">
        <f>X36-(X36*0.033)</f>
        <v>3096817.5</v>
      </c>
    </row>
    <row r="38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69"/>
      <c r="Q38" s="69"/>
      <c r="R38" s="69"/>
      <c r="S38" s="69"/>
      <c r="T38" s="69"/>
      <c r="U38" s="69"/>
      <c r="V38" s="69"/>
      <c r="W38" s="69"/>
      <c r="X38" s="40"/>
    </row>
  </sheetData>
  <mergeCells count="18"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C36:S36"/>
    <mergeCell ref="C37:S37"/>
    <mergeCell ref="A1:A5"/>
    <mergeCell ref="B1:O1"/>
    <mergeCell ref="D2:F2"/>
    <mergeCell ref="D3:F3"/>
    <mergeCell ref="B4:O4"/>
    <mergeCell ref="A6:A32"/>
    <mergeCell ref="B6:B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9" t="s">
        <v>23</v>
      </c>
      <c r="U5" s="9" t="s">
        <v>24</v>
      </c>
      <c r="V5" s="9" t="s">
        <v>25</v>
      </c>
      <c r="W5" s="10" t="s">
        <v>26</v>
      </c>
      <c r="X5" s="11" t="s">
        <v>27</v>
      </c>
    </row>
    <row r="6" ht="22.5" customHeight="1">
      <c r="A6" s="1"/>
      <c r="B6" s="12">
        <v>0.0</v>
      </c>
      <c r="C6" s="13" t="s">
        <v>28</v>
      </c>
      <c r="D6" s="14">
        <v>45628.0</v>
      </c>
      <c r="E6" s="14">
        <v>45631.0</v>
      </c>
      <c r="F6" s="15">
        <v>45634.0</v>
      </c>
      <c r="G6" s="14">
        <v>45641.0</v>
      </c>
      <c r="H6" s="14">
        <v>45644.0</v>
      </c>
      <c r="I6" s="14">
        <v>45646.0</v>
      </c>
      <c r="J6" s="14">
        <v>45647.0</v>
      </c>
      <c r="K6" s="15">
        <v>45649.0</v>
      </c>
      <c r="L6" s="16"/>
      <c r="M6" s="16"/>
      <c r="N6" s="17"/>
      <c r="O6" s="17"/>
      <c r="P6" s="18"/>
      <c r="Q6" s="19"/>
      <c r="R6" s="19"/>
      <c r="S6" s="19"/>
      <c r="T6" s="18">
        <v>46003.0</v>
      </c>
      <c r="U6" s="19"/>
      <c r="V6" s="19"/>
      <c r="W6" s="19"/>
      <c r="X6" s="20"/>
      <c r="Y6" s="21"/>
      <c r="Z6" s="21"/>
      <c r="AA6" s="21"/>
      <c r="AB6" s="21"/>
      <c r="AC6" s="21"/>
      <c r="AD6" s="21"/>
      <c r="AE6" s="21"/>
      <c r="AF6" s="21"/>
    </row>
    <row r="7" ht="33.75" customHeight="1">
      <c r="B7" s="22"/>
      <c r="C7" s="23" t="s">
        <v>29</v>
      </c>
      <c r="D7" s="24">
        <v>2.0</v>
      </c>
      <c r="E7" s="24">
        <v>1.5</v>
      </c>
      <c r="F7" s="23">
        <v>0.0</v>
      </c>
      <c r="G7" s="24">
        <v>1.5</v>
      </c>
      <c r="H7" s="23">
        <v>2.0</v>
      </c>
      <c r="I7" s="24">
        <v>1.0</v>
      </c>
      <c r="J7" s="24">
        <v>2.0</v>
      </c>
      <c r="K7" s="23">
        <v>0.0</v>
      </c>
      <c r="L7" s="25"/>
      <c r="M7" s="25"/>
      <c r="N7" s="26"/>
      <c r="O7" s="26"/>
      <c r="P7" s="24"/>
      <c r="Q7" s="19"/>
      <c r="R7" s="19"/>
      <c r="S7" s="24"/>
      <c r="T7" s="24">
        <v>2.0</v>
      </c>
      <c r="U7" s="19"/>
      <c r="V7" s="19"/>
      <c r="W7" s="24">
        <f>SUM(G7:V7)</f>
        <v>8.5</v>
      </c>
      <c r="X7" s="27">
        <v>0.0</v>
      </c>
    </row>
    <row r="8" ht="33.75" customHeight="1">
      <c r="B8" s="28"/>
      <c r="C8" s="29" t="s">
        <v>30</v>
      </c>
      <c r="D8" s="25"/>
      <c r="E8" s="25"/>
      <c r="F8" s="29" t="s">
        <v>31</v>
      </c>
      <c r="G8" s="25"/>
      <c r="H8" s="29" t="s">
        <v>32</v>
      </c>
      <c r="I8" s="25"/>
      <c r="J8" s="25"/>
      <c r="K8" s="29" t="s">
        <v>33</v>
      </c>
      <c r="L8" s="25"/>
      <c r="M8" s="25"/>
      <c r="N8" s="26"/>
      <c r="O8" s="26"/>
      <c r="P8" s="24"/>
      <c r="Q8" s="19"/>
      <c r="R8" s="19"/>
      <c r="S8" s="24"/>
      <c r="T8" s="24"/>
      <c r="U8" s="19"/>
      <c r="V8" s="19"/>
      <c r="W8" s="24"/>
      <c r="X8" s="20"/>
    </row>
    <row r="9" ht="22.5" customHeight="1">
      <c r="B9" s="12">
        <v>1.0</v>
      </c>
      <c r="C9" s="30" t="s">
        <v>34</v>
      </c>
      <c r="D9" s="45">
        <v>45873.0</v>
      </c>
      <c r="E9" s="45">
        <v>45880.0</v>
      </c>
      <c r="F9" s="63">
        <v>45883.0</v>
      </c>
      <c r="G9" s="45">
        <v>45887.0</v>
      </c>
      <c r="H9" s="45">
        <v>45890.0</v>
      </c>
      <c r="I9" s="45">
        <v>45894.0</v>
      </c>
      <c r="J9" s="45">
        <v>45897.0</v>
      </c>
      <c r="K9" s="50"/>
      <c r="L9" s="63"/>
      <c r="M9" s="46"/>
      <c r="N9" s="34"/>
      <c r="O9" s="34"/>
      <c r="P9" s="35"/>
      <c r="Q9" s="36"/>
      <c r="R9" s="36"/>
      <c r="S9" s="36"/>
      <c r="T9" s="36"/>
      <c r="U9" s="36"/>
      <c r="V9" s="36"/>
      <c r="W9" s="36"/>
      <c r="X9" s="20"/>
      <c r="Y9" s="21"/>
      <c r="Z9" s="21"/>
      <c r="AA9" s="21"/>
      <c r="AB9" s="21"/>
      <c r="AC9" s="21"/>
      <c r="AD9" s="21"/>
      <c r="AE9" s="21"/>
      <c r="AF9" s="21"/>
    </row>
    <row r="10" ht="22.5" customHeight="1">
      <c r="B10" s="22"/>
      <c r="C10" s="37" t="s">
        <v>29</v>
      </c>
      <c r="D10" s="38">
        <v>1.5</v>
      </c>
      <c r="E10" s="38">
        <v>1.5</v>
      </c>
      <c r="F10" s="23">
        <v>0.0</v>
      </c>
      <c r="G10" s="38">
        <v>1.5</v>
      </c>
      <c r="H10" s="38">
        <v>1.5</v>
      </c>
      <c r="I10" s="38">
        <v>1.5</v>
      </c>
      <c r="J10" s="38">
        <v>1.5</v>
      </c>
      <c r="K10" s="38"/>
      <c r="L10" s="38"/>
      <c r="M10" s="39"/>
      <c r="N10" s="40"/>
      <c r="O10" s="40"/>
      <c r="P10" s="36"/>
      <c r="Q10" s="36"/>
      <c r="R10" s="36"/>
      <c r="S10" s="41"/>
      <c r="T10" s="41"/>
      <c r="U10" s="41"/>
      <c r="V10" s="41"/>
      <c r="W10" s="41">
        <v>9.0</v>
      </c>
      <c r="X10" s="42">
        <f>W10*30000</f>
        <v>270000</v>
      </c>
    </row>
    <row r="11" ht="30.75" customHeight="1">
      <c r="B11" s="28"/>
      <c r="C11" s="43" t="s">
        <v>30</v>
      </c>
      <c r="D11" s="45"/>
      <c r="E11" s="45"/>
      <c r="F11" s="38" t="s">
        <v>90</v>
      </c>
      <c r="G11" s="45"/>
      <c r="H11" s="45"/>
      <c r="I11" s="38"/>
      <c r="J11" s="45"/>
      <c r="K11" s="38"/>
      <c r="L11" s="39"/>
      <c r="M11" s="39"/>
      <c r="N11" s="40"/>
      <c r="O11" s="40"/>
      <c r="P11" s="36"/>
      <c r="Q11" s="36"/>
      <c r="R11" s="36"/>
      <c r="S11" s="36"/>
      <c r="T11" s="36"/>
      <c r="U11" s="36"/>
      <c r="V11" s="36"/>
      <c r="W11" s="36"/>
      <c r="X11" s="20"/>
    </row>
    <row r="12" ht="22.5" customHeight="1">
      <c r="B12" s="12">
        <v>2.0</v>
      </c>
      <c r="C12" s="30" t="s">
        <v>42</v>
      </c>
      <c r="D12" s="45">
        <v>45875.0</v>
      </c>
      <c r="E12" s="45">
        <v>45877.0</v>
      </c>
      <c r="F12" s="45">
        <v>45882.0</v>
      </c>
      <c r="G12" s="63">
        <v>45884.0</v>
      </c>
      <c r="H12" s="63">
        <v>45889.0</v>
      </c>
      <c r="I12" s="45">
        <v>45891.0</v>
      </c>
      <c r="J12" s="45">
        <v>45896.0</v>
      </c>
      <c r="K12" s="45">
        <v>45898.0</v>
      </c>
      <c r="L12" s="45"/>
      <c r="M12" s="45"/>
      <c r="N12" s="45"/>
      <c r="O12" s="34"/>
      <c r="P12" s="36"/>
      <c r="Q12" s="36"/>
      <c r="R12" s="36"/>
      <c r="S12" s="36"/>
      <c r="T12" s="36"/>
      <c r="U12" s="36"/>
      <c r="V12" s="36"/>
      <c r="W12" s="36"/>
      <c r="X12" s="42">
        <f>S12*20000</f>
        <v>0</v>
      </c>
      <c r="Y12" s="21"/>
      <c r="Z12" s="21"/>
      <c r="AA12" s="21"/>
      <c r="AB12" s="21"/>
      <c r="AC12" s="21"/>
      <c r="AD12" s="21"/>
      <c r="AE12" s="21"/>
      <c r="AF12" s="21"/>
    </row>
    <row r="13" ht="22.5" customHeight="1">
      <c r="B13" s="22"/>
      <c r="C13" s="37" t="s">
        <v>29</v>
      </c>
      <c r="D13" s="38">
        <v>2.0</v>
      </c>
      <c r="E13" s="38">
        <v>2.0</v>
      </c>
      <c r="F13" s="38">
        <v>2.0</v>
      </c>
      <c r="G13" s="23">
        <v>0.0</v>
      </c>
      <c r="H13" s="38">
        <v>0.0</v>
      </c>
      <c r="I13" s="38">
        <v>2.0</v>
      </c>
      <c r="J13" s="38">
        <v>2.0</v>
      </c>
      <c r="K13" s="38">
        <v>2.0</v>
      </c>
      <c r="L13" s="38"/>
      <c r="M13" s="38"/>
      <c r="N13" s="38"/>
      <c r="O13" s="40"/>
      <c r="P13" s="36"/>
      <c r="Q13" s="36"/>
      <c r="R13" s="36"/>
      <c r="S13" s="36"/>
      <c r="T13" s="36"/>
      <c r="U13" s="36"/>
      <c r="V13" s="36"/>
      <c r="W13" s="41">
        <v>12.0</v>
      </c>
      <c r="X13" s="42">
        <f>W13*30000</f>
        <v>360000</v>
      </c>
    </row>
    <row r="14" ht="29.25" customHeight="1">
      <c r="B14" s="28"/>
      <c r="C14" s="43" t="s">
        <v>30</v>
      </c>
      <c r="D14" s="45"/>
      <c r="E14" s="45"/>
      <c r="F14" s="45"/>
      <c r="G14" s="38" t="s">
        <v>73</v>
      </c>
      <c r="H14" s="38" t="s">
        <v>90</v>
      </c>
      <c r="I14" s="45"/>
      <c r="J14" s="45"/>
      <c r="K14" s="38"/>
      <c r="L14" s="39"/>
      <c r="M14" s="38"/>
      <c r="N14" s="40"/>
      <c r="O14" s="40"/>
      <c r="P14" s="36"/>
      <c r="Q14" s="36"/>
      <c r="R14" s="36"/>
      <c r="S14" s="36"/>
      <c r="T14" s="36"/>
      <c r="U14" s="36"/>
      <c r="V14" s="36"/>
      <c r="W14" s="36"/>
      <c r="X14" s="42">
        <f>S14*20000</f>
        <v>0</v>
      </c>
    </row>
    <row r="15" ht="22.5" customHeight="1">
      <c r="B15" s="12">
        <v>3.0</v>
      </c>
      <c r="C15" s="30" t="s">
        <v>37</v>
      </c>
      <c r="D15" s="45">
        <v>45877.0</v>
      </c>
      <c r="E15" s="45">
        <v>45881.0</v>
      </c>
      <c r="F15" s="45">
        <v>45888.0</v>
      </c>
      <c r="G15" s="63">
        <v>45895.0</v>
      </c>
      <c r="H15" s="45"/>
      <c r="I15" s="50"/>
      <c r="J15" s="50"/>
      <c r="K15" s="50"/>
      <c r="L15" s="46"/>
      <c r="M15" s="46"/>
      <c r="N15" s="34"/>
      <c r="O15" s="34"/>
      <c r="P15" s="36"/>
      <c r="Q15" s="36"/>
      <c r="R15" s="36"/>
      <c r="S15" s="36"/>
      <c r="T15" s="36"/>
      <c r="U15" s="36"/>
      <c r="V15" s="36"/>
      <c r="W15" s="36"/>
      <c r="X15" s="20"/>
      <c r="Y15" s="21"/>
      <c r="Z15" s="21"/>
      <c r="AA15" s="21"/>
      <c r="AB15" s="21"/>
      <c r="AC15" s="21"/>
      <c r="AD15" s="21"/>
      <c r="AE15" s="21"/>
      <c r="AF15" s="21"/>
    </row>
    <row r="16" ht="22.5" customHeight="1">
      <c r="B16" s="22"/>
      <c r="C16" s="37" t="s">
        <v>29</v>
      </c>
      <c r="D16" s="38">
        <v>1.0</v>
      </c>
      <c r="E16" s="38">
        <v>1.0</v>
      </c>
      <c r="F16" s="38">
        <v>1.0</v>
      </c>
      <c r="G16" s="23">
        <v>0.0</v>
      </c>
      <c r="H16" s="38"/>
      <c r="I16" s="45"/>
      <c r="J16" s="45"/>
      <c r="K16" s="45"/>
      <c r="L16" s="39"/>
      <c r="M16" s="39"/>
      <c r="N16" s="40"/>
      <c r="O16" s="40"/>
      <c r="P16" s="49"/>
      <c r="Q16" s="49"/>
      <c r="R16" s="49"/>
      <c r="S16" s="36"/>
      <c r="T16" s="36"/>
      <c r="U16" s="36"/>
      <c r="V16" s="36"/>
      <c r="W16" s="41">
        <v>3.0</v>
      </c>
      <c r="X16" s="42">
        <f>W16*30000</f>
        <v>90000</v>
      </c>
    </row>
    <row r="17" ht="36.0" customHeight="1">
      <c r="B17" s="28"/>
      <c r="C17" s="43" t="s">
        <v>30</v>
      </c>
      <c r="D17" s="45"/>
      <c r="E17" s="45"/>
      <c r="F17" s="45"/>
      <c r="G17" s="44" t="s">
        <v>91</v>
      </c>
      <c r="H17" s="45"/>
      <c r="I17" s="45"/>
      <c r="J17" s="45"/>
      <c r="K17" s="45"/>
      <c r="L17" s="39"/>
      <c r="M17" s="39"/>
      <c r="N17" s="40"/>
      <c r="O17" s="40"/>
      <c r="P17" s="49"/>
      <c r="Q17" s="49"/>
      <c r="R17" s="49"/>
      <c r="S17" s="36"/>
      <c r="T17" s="36"/>
      <c r="U17" s="36"/>
      <c r="V17" s="36"/>
      <c r="W17" s="36"/>
      <c r="X17" s="42">
        <f>S17*20000</f>
        <v>0</v>
      </c>
    </row>
    <row r="18" ht="22.5" customHeight="1">
      <c r="B18" s="12">
        <v>4.0</v>
      </c>
      <c r="C18" s="30" t="s">
        <v>92</v>
      </c>
      <c r="D18" s="45">
        <v>45870.0</v>
      </c>
      <c r="E18" s="45">
        <v>45873.0</v>
      </c>
      <c r="F18" s="45"/>
      <c r="G18" s="45"/>
      <c r="H18" s="45"/>
      <c r="I18" s="63"/>
      <c r="J18" s="63"/>
      <c r="K18" s="63"/>
      <c r="L18" s="64"/>
      <c r="M18" s="64"/>
      <c r="N18" s="34"/>
      <c r="O18" s="34"/>
      <c r="P18" s="49"/>
      <c r="Q18" s="49"/>
      <c r="R18" s="49"/>
      <c r="S18" s="36"/>
      <c r="T18" s="36"/>
      <c r="U18" s="36"/>
      <c r="V18" s="36"/>
      <c r="W18" s="36"/>
      <c r="X18" s="20"/>
      <c r="Y18" s="21"/>
      <c r="Z18" s="21"/>
      <c r="AA18" s="21"/>
      <c r="AB18" s="21"/>
      <c r="AC18" s="21"/>
      <c r="AD18" s="21"/>
      <c r="AE18" s="21"/>
      <c r="AF18" s="21"/>
    </row>
    <row r="19" ht="22.5" customHeight="1">
      <c r="B19" s="22"/>
      <c r="C19" s="37" t="s">
        <v>29</v>
      </c>
      <c r="D19" s="38">
        <v>1.5</v>
      </c>
      <c r="E19" s="38">
        <v>1.5</v>
      </c>
      <c r="F19" s="38"/>
      <c r="G19" s="38"/>
      <c r="H19" s="38"/>
      <c r="I19" s="38"/>
      <c r="J19" s="38"/>
      <c r="K19" s="38"/>
      <c r="L19" s="39"/>
      <c r="M19" s="39"/>
      <c r="N19" s="40"/>
      <c r="O19" s="40"/>
      <c r="P19" s="49"/>
      <c r="Q19" s="49"/>
      <c r="R19" s="49"/>
      <c r="S19" s="36"/>
      <c r="T19" s="36"/>
      <c r="U19" s="36"/>
      <c r="V19" s="36"/>
      <c r="W19" s="41">
        <v>3.0</v>
      </c>
      <c r="X19" s="42">
        <f>W19*30000</f>
        <v>90000</v>
      </c>
    </row>
    <row r="20" ht="30.75" customHeight="1">
      <c r="B20" s="28"/>
      <c r="C20" s="43" t="s">
        <v>30</v>
      </c>
      <c r="D20" s="45"/>
      <c r="E20" s="45"/>
      <c r="F20" s="45"/>
      <c r="G20" s="45"/>
      <c r="H20" s="45"/>
      <c r="I20" s="38"/>
      <c r="J20" s="38"/>
      <c r="K20" s="38"/>
      <c r="L20" s="39"/>
      <c r="M20" s="39"/>
      <c r="N20" s="40"/>
      <c r="O20" s="40"/>
      <c r="P20" s="49"/>
      <c r="Q20" s="49"/>
      <c r="R20" s="49"/>
      <c r="S20" s="36"/>
      <c r="T20" s="36"/>
      <c r="U20" s="36"/>
      <c r="V20" s="36"/>
      <c r="W20" s="36"/>
      <c r="X20" s="42"/>
    </row>
    <row r="21" ht="22.5" customHeight="1">
      <c r="B21" s="12">
        <v>5.0</v>
      </c>
      <c r="C21" s="30" t="s">
        <v>93</v>
      </c>
      <c r="D21" s="45">
        <v>45873.0</v>
      </c>
      <c r="E21" s="45">
        <v>45874.0</v>
      </c>
      <c r="F21" s="45">
        <v>45875.0</v>
      </c>
      <c r="G21" s="45">
        <v>45876.0</v>
      </c>
      <c r="H21" s="45">
        <v>45887.0</v>
      </c>
      <c r="I21" s="45">
        <v>45889.0</v>
      </c>
      <c r="J21" s="50"/>
      <c r="K21" s="50"/>
      <c r="L21" s="64"/>
      <c r="M21" s="64"/>
      <c r="N21" s="34"/>
      <c r="O21" s="34"/>
      <c r="P21" s="36"/>
      <c r="Q21" s="36"/>
      <c r="R21" s="36"/>
      <c r="S21" s="36"/>
      <c r="T21" s="36"/>
      <c r="U21" s="36"/>
      <c r="V21" s="36"/>
      <c r="W21" s="36"/>
      <c r="X21" s="42">
        <f>S21*20000</f>
        <v>0</v>
      </c>
      <c r="Y21" s="21"/>
      <c r="Z21" s="21"/>
      <c r="AA21" s="21"/>
      <c r="AB21" s="21"/>
      <c r="AC21" s="21"/>
      <c r="AD21" s="21"/>
      <c r="AE21" s="21"/>
      <c r="AF21" s="21"/>
    </row>
    <row r="22" ht="22.5" customHeight="1">
      <c r="B22" s="22"/>
      <c r="C22" s="43" t="s">
        <v>29</v>
      </c>
      <c r="D22" s="38">
        <v>1.0</v>
      </c>
      <c r="E22" s="38">
        <v>1.0</v>
      </c>
      <c r="F22" s="38">
        <v>1.0</v>
      </c>
      <c r="G22" s="38">
        <v>1.0</v>
      </c>
      <c r="H22" s="38">
        <v>1.0</v>
      </c>
      <c r="I22" s="38">
        <v>1.0</v>
      </c>
      <c r="J22" s="45"/>
      <c r="K22" s="45"/>
      <c r="L22" s="39"/>
      <c r="M22" s="39"/>
      <c r="N22" s="40"/>
      <c r="O22" s="40"/>
      <c r="P22" s="36"/>
      <c r="Q22" s="36"/>
      <c r="R22" s="36"/>
      <c r="S22" s="36"/>
      <c r="T22" s="36"/>
      <c r="U22" s="36"/>
      <c r="V22" s="36"/>
      <c r="W22" s="41">
        <v>6.0</v>
      </c>
      <c r="X22" s="42">
        <f>W22*30000</f>
        <v>180000</v>
      </c>
    </row>
    <row r="23" ht="22.5" customHeight="1">
      <c r="B23" s="28"/>
      <c r="C23" s="43" t="s">
        <v>30</v>
      </c>
      <c r="D23" s="44"/>
      <c r="E23" s="44"/>
      <c r="F23" s="45"/>
      <c r="G23" s="45"/>
      <c r="H23" s="45"/>
      <c r="I23" s="45"/>
      <c r="J23" s="45"/>
      <c r="K23" s="45"/>
      <c r="L23" s="39"/>
      <c r="M23" s="39"/>
      <c r="N23" s="40"/>
      <c r="O23" s="40"/>
      <c r="P23" s="36"/>
      <c r="Q23" s="36"/>
      <c r="R23" s="36"/>
      <c r="S23" s="36"/>
      <c r="T23" s="36"/>
      <c r="U23" s="36"/>
      <c r="V23" s="36"/>
      <c r="W23" s="36"/>
      <c r="X23" s="42">
        <f t="shared" ref="X23:X24" si="1">S23*20000</f>
        <v>0</v>
      </c>
    </row>
    <row r="24" ht="22.5" customHeight="1">
      <c r="B24" s="12">
        <v>6.0</v>
      </c>
      <c r="C24" s="30" t="s">
        <v>94</v>
      </c>
      <c r="D24" s="63">
        <v>45870.0</v>
      </c>
      <c r="E24" s="45">
        <v>45871.0</v>
      </c>
      <c r="F24" s="45">
        <v>45873.0</v>
      </c>
      <c r="G24" s="45">
        <v>45874.0</v>
      </c>
      <c r="H24" s="63">
        <v>45876.0</v>
      </c>
      <c r="I24" s="72">
        <v>45877.0</v>
      </c>
      <c r="J24" s="45">
        <v>45878.0</v>
      </c>
      <c r="K24" s="45">
        <v>45880.0</v>
      </c>
      <c r="L24" s="45">
        <v>45881.0</v>
      </c>
      <c r="M24" s="45">
        <v>45882.0</v>
      </c>
      <c r="N24" s="45"/>
      <c r="O24" s="50"/>
      <c r="P24" s="50"/>
      <c r="Q24" s="50"/>
      <c r="R24" s="36"/>
      <c r="S24" s="41"/>
      <c r="T24" s="41"/>
      <c r="U24" s="41"/>
      <c r="V24" s="41"/>
      <c r="W24" s="41"/>
      <c r="X24" s="42">
        <f t="shared" si="1"/>
        <v>0</v>
      </c>
      <c r="Y24" s="21"/>
      <c r="Z24" s="21"/>
      <c r="AA24" s="21"/>
      <c r="AB24" s="21"/>
      <c r="AC24" s="21"/>
      <c r="AD24" s="21"/>
      <c r="AE24" s="21"/>
      <c r="AF24" s="21"/>
    </row>
    <row r="25" ht="22.5" customHeight="1">
      <c r="B25" s="22"/>
      <c r="C25" s="30" t="s">
        <v>29</v>
      </c>
      <c r="D25" s="43">
        <v>0.0</v>
      </c>
      <c r="E25" s="43">
        <v>2.0</v>
      </c>
      <c r="F25" s="43">
        <v>2.0</v>
      </c>
      <c r="G25" s="43">
        <v>2.0</v>
      </c>
      <c r="H25" s="43">
        <v>0.0</v>
      </c>
      <c r="I25" s="43">
        <v>2.0</v>
      </c>
      <c r="J25" s="43">
        <v>2.0</v>
      </c>
      <c r="K25" s="43">
        <v>2.0</v>
      </c>
      <c r="L25" s="43">
        <v>2.0</v>
      </c>
      <c r="M25" s="43">
        <v>2.0</v>
      </c>
      <c r="N25" s="43"/>
      <c r="O25" s="34"/>
      <c r="P25" s="36"/>
      <c r="Q25" s="36"/>
      <c r="R25" s="36"/>
      <c r="S25" s="41"/>
      <c r="T25" s="41"/>
      <c r="U25" s="41"/>
      <c r="V25" s="41"/>
      <c r="W25" s="41">
        <v>16.0</v>
      </c>
      <c r="X25" s="42">
        <f>W25*45000</f>
        <v>720000</v>
      </c>
      <c r="Y25" s="21"/>
      <c r="Z25" s="21"/>
      <c r="AA25" s="21"/>
      <c r="AB25" s="21"/>
      <c r="AC25" s="21"/>
      <c r="AD25" s="21"/>
      <c r="AE25" s="21"/>
      <c r="AF25" s="21"/>
    </row>
    <row r="26" ht="30.0" customHeight="1">
      <c r="B26" s="28"/>
      <c r="C26" s="43" t="s">
        <v>30</v>
      </c>
      <c r="D26" s="44" t="s">
        <v>95</v>
      </c>
      <c r="E26" s="44" t="s">
        <v>88</v>
      </c>
      <c r="F26" s="44" t="s">
        <v>88</v>
      </c>
      <c r="G26" s="44" t="s">
        <v>88</v>
      </c>
      <c r="H26" s="44" t="s">
        <v>95</v>
      </c>
      <c r="I26" s="44" t="s">
        <v>88</v>
      </c>
      <c r="J26" s="44" t="s">
        <v>88</v>
      </c>
      <c r="K26" s="44" t="s">
        <v>88</v>
      </c>
      <c r="L26" s="44" t="s">
        <v>88</v>
      </c>
      <c r="M26" s="44" t="s">
        <v>88</v>
      </c>
      <c r="N26" s="44"/>
      <c r="O26" s="44"/>
      <c r="P26" s="44"/>
      <c r="Q26" s="44"/>
      <c r="R26" s="36"/>
      <c r="S26" s="36"/>
      <c r="T26" s="36"/>
      <c r="U26" s="36"/>
      <c r="V26" s="36"/>
      <c r="W26" s="36"/>
      <c r="X26" s="42">
        <f>S26*20000</f>
        <v>0</v>
      </c>
    </row>
    <row r="27" ht="30.0" customHeight="1">
      <c r="B27" s="12">
        <v>7.0</v>
      </c>
      <c r="C27" s="30" t="s">
        <v>94</v>
      </c>
      <c r="D27" s="45">
        <v>45879.0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36"/>
      <c r="S27" s="36"/>
      <c r="T27" s="36"/>
      <c r="U27" s="36"/>
      <c r="V27" s="36"/>
      <c r="W27" s="36"/>
      <c r="X27" s="42"/>
    </row>
    <row r="28" ht="30.0" customHeight="1">
      <c r="B28" s="22"/>
      <c r="C28" s="30" t="s">
        <v>29</v>
      </c>
      <c r="D28" s="43">
        <v>2.0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36"/>
      <c r="S28" s="36"/>
      <c r="T28" s="36"/>
      <c r="U28" s="36"/>
      <c r="V28" s="36"/>
      <c r="W28" s="41">
        <v>2.0</v>
      </c>
      <c r="X28" s="42">
        <f>W28*30000</f>
        <v>60000</v>
      </c>
    </row>
    <row r="29" ht="30.0" customHeight="1">
      <c r="B29" s="28"/>
      <c r="C29" s="43" t="s">
        <v>30</v>
      </c>
      <c r="D29" s="44" t="s">
        <v>96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6"/>
      <c r="S29" s="36"/>
      <c r="T29" s="36"/>
      <c r="U29" s="36"/>
      <c r="V29" s="36"/>
      <c r="W29" s="36"/>
      <c r="X29" s="42"/>
    </row>
    <row r="30" ht="22.5" customHeight="1">
      <c r="B30" s="12">
        <v>8.0</v>
      </c>
      <c r="C30" s="30" t="s">
        <v>75</v>
      </c>
      <c r="D30" s="45">
        <v>45888.0</v>
      </c>
      <c r="E30" s="63">
        <v>45891.0</v>
      </c>
      <c r="F30" s="45">
        <v>45895.0</v>
      </c>
      <c r="G30" s="45">
        <v>45896.0</v>
      </c>
      <c r="H30" s="63">
        <v>45898.0</v>
      </c>
      <c r="I30" s="63"/>
      <c r="J30" s="64"/>
      <c r="K30" s="64"/>
      <c r="L30" s="64"/>
      <c r="M30" s="64"/>
      <c r="N30" s="34"/>
      <c r="O30" s="34"/>
      <c r="P30" s="36"/>
      <c r="Q30" s="36"/>
      <c r="R30" s="36"/>
      <c r="S30" s="36"/>
      <c r="T30" s="36"/>
      <c r="U30" s="36"/>
      <c r="V30" s="36"/>
      <c r="W30" s="36"/>
      <c r="X30" s="42">
        <f>S30*20000</f>
        <v>0</v>
      </c>
      <c r="Y30" s="21"/>
      <c r="Z30" s="21"/>
      <c r="AA30" s="21"/>
      <c r="AB30" s="21"/>
      <c r="AC30" s="21"/>
      <c r="AD30" s="21"/>
      <c r="AE30" s="21"/>
      <c r="AF30" s="21"/>
    </row>
    <row r="31" ht="22.5" customHeight="1">
      <c r="B31" s="22"/>
      <c r="C31" s="30" t="s">
        <v>29</v>
      </c>
      <c r="D31" s="43">
        <v>2.0</v>
      </c>
      <c r="E31" s="43">
        <v>0.0</v>
      </c>
      <c r="F31" s="43">
        <v>2.0</v>
      </c>
      <c r="G31" s="43">
        <v>2.0</v>
      </c>
      <c r="H31" s="43">
        <v>0.0</v>
      </c>
      <c r="I31" s="43"/>
      <c r="J31" s="64"/>
      <c r="K31" s="64"/>
      <c r="L31" s="64"/>
      <c r="M31" s="64"/>
      <c r="N31" s="34"/>
      <c r="O31" s="34"/>
      <c r="P31" s="36"/>
      <c r="Q31" s="36"/>
      <c r="R31" s="36"/>
      <c r="S31" s="36"/>
      <c r="T31" s="36"/>
      <c r="U31" s="36"/>
      <c r="V31" s="36"/>
      <c r="W31" s="41">
        <v>6.0</v>
      </c>
      <c r="X31" s="42">
        <f>W31*55000</f>
        <v>330000</v>
      </c>
      <c r="Y31" s="21"/>
      <c r="Z31" s="21"/>
      <c r="AA31" s="21"/>
      <c r="AB31" s="21"/>
      <c r="AC31" s="21"/>
      <c r="AD31" s="21"/>
      <c r="AE31" s="21"/>
      <c r="AF31" s="21"/>
    </row>
    <row r="32" ht="32.25" customHeight="1">
      <c r="B32" s="28"/>
      <c r="C32" s="43" t="s">
        <v>30</v>
      </c>
      <c r="D32" s="44" t="s">
        <v>84</v>
      </c>
      <c r="E32" s="44" t="s">
        <v>49</v>
      </c>
      <c r="F32" s="44" t="s">
        <v>84</v>
      </c>
      <c r="G32" s="44" t="s">
        <v>84</v>
      </c>
      <c r="H32" s="44" t="s">
        <v>49</v>
      </c>
      <c r="I32" s="44"/>
      <c r="J32" s="39"/>
      <c r="K32" s="39"/>
      <c r="L32" s="39"/>
      <c r="M32" s="39"/>
      <c r="N32" s="40"/>
      <c r="O32" s="40"/>
      <c r="P32" s="36"/>
      <c r="Q32" s="36"/>
      <c r="R32" s="36"/>
      <c r="S32" s="36"/>
      <c r="T32" s="36"/>
      <c r="U32" s="36"/>
      <c r="V32" s="36"/>
      <c r="W32" s="36"/>
      <c r="X32" s="42">
        <f>S32*20000</f>
        <v>0</v>
      </c>
    </row>
    <row r="33" ht="32.25" customHeight="1">
      <c r="A33" s="1"/>
      <c r="B33" s="12">
        <v>9.0</v>
      </c>
      <c r="C33" s="30" t="s">
        <v>75</v>
      </c>
      <c r="D33" s="45">
        <v>45889.0</v>
      </c>
      <c r="E33" s="44"/>
      <c r="F33" s="44"/>
      <c r="G33" s="44"/>
      <c r="H33" s="44"/>
      <c r="I33" s="44"/>
      <c r="J33" s="39"/>
      <c r="K33" s="39"/>
      <c r="L33" s="39"/>
      <c r="M33" s="39"/>
      <c r="N33" s="40"/>
      <c r="O33" s="40"/>
      <c r="P33" s="36"/>
      <c r="Q33" s="36"/>
      <c r="R33" s="36"/>
      <c r="S33" s="36"/>
      <c r="T33" s="36"/>
      <c r="U33" s="36"/>
      <c r="V33" s="36"/>
      <c r="W33" s="36"/>
      <c r="X33" s="42"/>
    </row>
    <row r="34" ht="32.25" customHeight="1">
      <c r="A34" s="1"/>
      <c r="B34" s="22"/>
      <c r="C34" s="30" t="s">
        <v>29</v>
      </c>
      <c r="D34" s="43">
        <v>2.0</v>
      </c>
      <c r="E34" s="44"/>
      <c r="F34" s="44"/>
      <c r="G34" s="44"/>
      <c r="H34" s="44"/>
      <c r="I34" s="44"/>
      <c r="J34" s="39"/>
      <c r="K34" s="39"/>
      <c r="L34" s="39"/>
      <c r="M34" s="39"/>
      <c r="N34" s="40"/>
      <c r="O34" s="40"/>
      <c r="P34" s="36"/>
      <c r="Q34" s="36"/>
      <c r="R34" s="36"/>
      <c r="S34" s="36"/>
      <c r="T34" s="36"/>
      <c r="U34" s="36"/>
      <c r="V34" s="36"/>
      <c r="W34" s="41">
        <v>2.0</v>
      </c>
      <c r="X34" s="42">
        <f>W34*40000</f>
        <v>80000</v>
      </c>
    </row>
    <row r="35" ht="32.25" customHeight="1">
      <c r="A35" s="1"/>
      <c r="B35" s="28"/>
      <c r="C35" s="43" t="s">
        <v>30</v>
      </c>
      <c r="D35" s="44" t="s">
        <v>97</v>
      </c>
      <c r="E35" s="44"/>
      <c r="F35" s="44"/>
      <c r="G35" s="44"/>
      <c r="H35" s="44"/>
      <c r="I35" s="44"/>
      <c r="J35" s="39"/>
      <c r="K35" s="39"/>
      <c r="L35" s="39"/>
      <c r="M35" s="39"/>
      <c r="N35" s="40"/>
      <c r="O35" s="40"/>
      <c r="P35" s="36"/>
      <c r="Q35" s="36"/>
      <c r="R35" s="36"/>
      <c r="S35" s="36"/>
      <c r="T35" s="36"/>
      <c r="U35" s="36"/>
      <c r="V35" s="36"/>
      <c r="W35" s="36"/>
      <c r="X35" s="42"/>
    </row>
    <row r="36">
      <c r="A36" s="1"/>
      <c r="B36" s="30" t="s">
        <v>46</v>
      </c>
      <c r="C36" s="6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  <c r="T36" s="39"/>
      <c r="U36" s="39"/>
      <c r="V36" s="39"/>
      <c r="W36" s="39"/>
      <c r="X36" s="68">
        <f>SUM(X10:X35)</f>
        <v>2180000</v>
      </c>
    </row>
    <row r="37">
      <c r="A37" s="1"/>
      <c r="B37" s="30" t="s">
        <v>47</v>
      </c>
      <c r="C37" s="6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  <c r="T37" s="39"/>
      <c r="U37" s="39"/>
      <c r="V37" s="39"/>
      <c r="W37" s="39"/>
      <c r="X37" s="68">
        <f>X36-(X36*0.033)</f>
        <v>2108060</v>
      </c>
    </row>
    <row r="38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69"/>
      <c r="Q38" s="69"/>
      <c r="R38" s="69"/>
      <c r="S38" s="69"/>
      <c r="T38" s="69"/>
      <c r="U38" s="69"/>
      <c r="V38" s="69"/>
      <c r="W38" s="69"/>
      <c r="X38" s="40"/>
    </row>
  </sheetData>
  <mergeCells count="18"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C36:S36"/>
    <mergeCell ref="C37:S37"/>
    <mergeCell ref="A1:A5"/>
    <mergeCell ref="B1:O1"/>
    <mergeCell ref="D2:F2"/>
    <mergeCell ref="D3:F3"/>
    <mergeCell ref="B4:O4"/>
    <mergeCell ref="A6:A32"/>
    <mergeCell ref="B6:B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9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9" t="s">
        <v>23</v>
      </c>
      <c r="U5" s="9" t="s">
        <v>24</v>
      </c>
      <c r="V5" s="9" t="s">
        <v>25</v>
      </c>
      <c r="W5" s="10" t="s">
        <v>26</v>
      </c>
      <c r="X5" s="11" t="s">
        <v>27</v>
      </c>
    </row>
    <row r="6" ht="22.5" customHeight="1">
      <c r="A6" s="1"/>
      <c r="B6" s="12">
        <v>0.0</v>
      </c>
      <c r="C6" s="13" t="s">
        <v>28</v>
      </c>
      <c r="D6" s="14">
        <v>45628.0</v>
      </c>
      <c r="E6" s="14">
        <v>45631.0</v>
      </c>
      <c r="F6" s="15">
        <v>45634.0</v>
      </c>
      <c r="G6" s="14">
        <v>45641.0</v>
      </c>
      <c r="H6" s="14">
        <v>45644.0</v>
      </c>
      <c r="I6" s="14">
        <v>45646.0</v>
      </c>
      <c r="J6" s="14">
        <v>45647.0</v>
      </c>
      <c r="K6" s="15">
        <v>45649.0</v>
      </c>
      <c r="L6" s="16"/>
      <c r="M6" s="16"/>
      <c r="N6" s="17"/>
      <c r="O6" s="17"/>
      <c r="P6" s="18"/>
      <c r="Q6" s="19"/>
      <c r="R6" s="19"/>
      <c r="S6" s="19"/>
      <c r="T6" s="18">
        <v>46003.0</v>
      </c>
      <c r="U6" s="19"/>
      <c r="V6" s="19"/>
      <c r="W6" s="19"/>
      <c r="X6" s="20"/>
      <c r="Y6" s="21"/>
      <c r="Z6" s="21"/>
      <c r="AA6" s="21"/>
      <c r="AB6" s="21"/>
      <c r="AC6" s="21"/>
      <c r="AD6" s="21"/>
      <c r="AE6" s="21"/>
      <c r="AF6" s="21"/>
    </row>
    <row r="7" ht="33.75" customHeight="1">
      <c r="B7" s="22"/>
      <c r="C7" s="23" t="s">
        <v>29</v>
      </c>
      <c r="D7" s="24">
        <v>2.0</v>
      </c>
      <c r="E7" s="24">
        <v>1.5</v>
      </c>
      <c r="F7" s="23">
        <v>0.0</v>
      </c>
      <c r="G7" s="24">
        <v>1.5</v>
      </c>
      <c r="H7" s="23">
        <v>2.0</v>
      </c>
      <c r="I7" s="24">
        <v>1.0</v>
      </c>
      <c r="J7" s="24">
        <v>2.0</v>
      </c>
      <c r="K7" s="23">
        <v>0.0</v>
      </c>
      <c r="L7" s="25"/>
      <c r="M7" s="25"/>
      <c r="N7" s="26"/>
      <c r="O7" s="26"/>
      <c r="P7" s="24"/>
      <c r="Q7" s="19"/>
      <c r="R7" s="19"/>
      <c r="S7" s="24"/>
      <c r="T7" s="24">
        <v>2.0</v>
      </c>
      <c r="U7" s="19"/>
      <c r="V7" s="19"/>
      <c r="W7" s="24">
        <f>SUM(G7:V7)</f>
        <v>8.5</v>
      </c>
      <c r="X7" s="27">
        <v>0.0</v>
      </c>
    </row>
    <row r="8" ht="33.75" customHeight="1">
      <c r="B8" s="28"/>
      <c r="C8" s="29" t="s">
        <v>30</v>
      </c>
      <c r="D8" s="25"/>
      <c r="E8" s="25"/>
      <c r="F8" s="29" t="s">
        <v>31</v>
      </c>
      <c r="G8" s="25"/>
      <c r="H8" s="29" t="s">
        <v>32</v>
      </c>
      <c r="I8" s="25"/>
      <c r="J8" s="25"/>
      <c r="K8" s="29" t="s">
        <v>33</v>
      </c>
      <c r="L8" s="25"/>
      <c r="M8" s="25"/>
      <c r="N8" s="26"/>
      <c r="O8" s="26"/>
      <c r="P8" s="24"/>
      <c r="Q8" s="19"/>
      <c r="R8" s="19"/>
      <c r="S8" s="24"/>
      <c r="T8" s="24"/>
      <c r="U8" s="19"/>
      <c r="V8" s="19"/>
      <c r="W8" s="24"/>
      <c r="X8" s="20"/>
    </row>
    <row r="9" ht="22.5" customHeight="1">
      <c r="B9" s="12">
        <v>1.0</v>
      </c>
      <c r="C9" s="30" t="s">
        <v>34</v>
      </c>
      <c r="D9" s="45">
        <v>45841.0</v>
      </c>
      <c r="E9" s="45">
        <v>45845.0</v>
      </c>
      <c r="F9" s="45">
        <v>45848.0</v>
      </c>
      <c r="G9" s="45">
        <v>45852.0</v>
      </c>
      <c r="H9" s="45">
        <v>45855.0</v>
      </c>
      <c r="I9" s="63">
        <v>45859.0</v>
      </c>
      <c r="J9" s="45">
        <v>45862.0</v>
      </c>
      <c r="K9" s="63"/>
      <c r="L9" s="63"/>
      <c r="M9" s="46"/>
      <c r="N9" s="34"/>
      <c r="O9" s="34"/>
      <c r="P9" s="35"/>
      <c r="Q9" s="36"/>
      <c r="R9" s="36"/>
      <c r="S9" s="36"/>
      <c r="T9" s="36"/>
      <c r="U9" s="36"/>
      <c r="V9" s="36"/>
      <c r="W9" s="36"/>
      <c r="X9" s="20"/>
      <c r="Y9" s="21"/>
      <c r="Z9" s="21"/>
      <c r="AA9" s="21"/>
      <c r="AB9" s="21"/>
      <c r="AC9" s="21"/>
      <c r="AD9" s="21"/>
      <c r="AE9" s="21"/>
      <c r="AF9" s="21"/>
    </row>
    <row r="10" ht="31.5" customHeight="1">
      <c r="B10" s="22"/>
      <c r="C10" s="37" t="s">
        <v>29</v>
      </c>
      <c r="D10" s="38">
        <v>1.5</v>
      </c>
      <c r="E10" s="38">
        <v>1.5</v>
      </c>
      <c r="F10" s="38">
        <v>1.5</v>
      </c>
      <c r="G10" s="38">
        <v>1.5</v>
      </c>
      <c r="H10" s="38">
        <v>1.5</v>
      </c>
      <c r="I10" s="38">
        <v>0.0</v>
      </c>
      <c r="J10" s="38">
        <v>1.5</v>
      </c>
      <c r="K10" s="38"/>
      <c r="L10" s="38"/>
      <c r="M10" s="39"/>
      <c r="N10" s="40"/>
      <c r="O10" s="40"/>
      <c r="P10" s="36"/>
      <c r="Q10" s="36"/>
      <c r="R10" s="36"/>
      <c r="S10" s="41"/>
      <c r="T10" s="41"/>
      <c r="U10" s="41"/>
      <c r="V10" s="41"/>
      <c r="W10" s="41">
        <v>9.0</v>
      </c>
      <c r="X10" s="42">
        <f>W10*30000</f>
        <v>270000</v>
      </c>
    </row>
    <row r="11" ht="30.75" customHeight="1">
      <c r="B11" s="28"/>
      <c r="C11" s="43" t="s">
        <v>30</v>
      </c>
      <c r="D11" s="45"/>
      <c r="E11" s="45"/>
      <c r="F11" s="45"/>
      <c r="G11" s="45"/>
      <c r="H11" s="45"/>
      <c r="I11" s="38" t="s">
        <v>90</v>
      </c>
      <c r="J11" s="45"/>
      <c r="K11" s="38"/>
      <c r="L11" s="39"/>
      <c r="M11" s="39"/>
      <c r="N11" s="40"/>
      <c r="O11" s="40"/>
      <c r="P11" s="36"/>
      <c r="Q11" s="36"/>
      <c r="R11" s="36"/>
      <c r="S11" s="36"/>
      <c r="T11" s="36"/>
      <c r="U11" s="36"/>
      <c r="V11" s="36"/>
      <c r="W11" s="36"/>
      <c r="X11" s="20"/>
    </row>
    <row r="12" ht="22.5" customHeight="1">
      <c r="B12" s="12">
        <v>2.0</v>
      </c>
      <c r="C12" s="30" t="s">
        <v>42</v>
      </c>
      <c r="D12" s="45">
        <v>45839.0</v>
      </c>
      <c r="E12" s="45">
        <v>45840.0</v>
      </c>
      <c r="F12" s="45">
        <v>45841.0</v>
      </c>
      <c r="G12" s="45">
        <v>45846.0</v>
      </c>
      <c r="H12" s="45">
        <v>45848.0</v>
      </c>
      <c r="I12" s="45">
        <v>45853.0</v>
      </c>
      <c r="J12" s="45">
        <v>45855.0</v>
      </c>
      <c r="K12" s="63">
        <v>45860.0</v>
      </c>
      <c r="L12" s="45">
        <v>45862.0</v>
      </c>
      <c r="M12" s="45">
        <v>45867.0</v>
      </c>
      <c r="N12" s="45">
        <v>45869.0</v>
      </c>
      <c r="O12" s="34"/>
      <c r="P12" s="36"/>
      <c r="Q12" s="36"/>
      <c r="R12" s="36"/>
      <c r="S12" s="36"/>
      <c r="T12" s="36"/>
      <c r="U12" s="36"/>
      <c r="V12" s="36"/>
      <c r="W12" s="36"/>
      <c r="X12" s="42">
        <f>S12*30000</f>
        <v>0</v>
      </c>
      <c r="Y12" s="21"/>
      <c r="Z12" s="21"/>
      <c r="AA12" s="21"/>
      <c r="AB12" s="21"/>
      <c r="AC12" s="21"/>
      <c r="AD12" s="21"/>
      <c r="AE12" s="21"/>
      <c r="AF12" s="21"/>
    </row>
    <row r="13" ht="22.5" customHeight="1">
      <c r="B13" s="22"/>
      <c r="C13" s="37" t="s">
        <v>29</v>
      </c>
      <c r="D13" s="38">
        <v>2.0</v>
      </c>
      <c r="E13" s="38">
        <v>2.0</v>
      </c>
      <c r="F13" s="38">
        <v>2.0</v>
      </c>
      <c r="G13" s="38">
        <v>2.0</v>
      </c>
      <c r="H13" s="38">
        <v>2.0</v>
      </c>
      <c r="I13" s="38">
        <v>2.0</v>
      </c>
      <c r="J13" s="38">
        <v>2.0</v>
      </c>
      <c r="K13" s="38">
        <v>0.0</v>
      </c>
      <c r="L13" s="38">
        <v>2.0</v>
      </c>
      <c r="M13" s="38">
        <v>2.0</v>
      </c>
      <c r="N13" s="38">
        <v>2.0</v>
      </c>
      <c r="O13" s="40"/>
      <c r="P13" s="36"/>
      <c r="Q13" s="36"/>
      <c r="R13" s="36"/>
      <c r="S13" s="36"/>
      <c r="T13" s="36"/>
      <c r="U13" s="36"/>
      <c r="V13" s="36"/>
      <c r="W13" s="41">
        <v>20.0</v>
      </c>
      <c r="X13" s="42">
        <f>W13*30000</f>
        <v>600000</v>
      </c>
    </row>
    <row r="14" ht="29.25" customHeight="1">
      <c r="B14" s="28"/>
      <c r="C14" s="43" t="s">
        <v>30</v>
      </c>
      <c r="D14" s="45"/>
      <c r="E14" s="45"/>
      <c r="F14" s="45"/>
      <c r="G14" s="45"/>
      <c r="H14" s="45"/>
      <c r="I14" s="45"/>
      <c r="J14" s="45"/>
      <c r="K14" s="38" t="s">
        <v>90</v>
      </c>
      <c r="L14" s="39"/>
      <c r="M14" s="38"/>
      <c r="N14" s="40"/>
      <c r="O14" s="40"/>
      <c r="P14" s="36"/>
      <c r="Q14" s="36"/>
      <c r="R14" s="36"/>
      <c r="S14" s="36"/>
      <c r="T14" s="36"/>
      <c r="U14" s="36"/>
      <c r="V14" s="36"/>
      <c r="W14" s="36"/>
      <c r="X14" s="42">
        <f>S14*20000</f>
        <v>0</v>
      </c>
    </row>
    <row r="15" ht="22.5" customHeight="1">
      <c r="B15" s="12">
        <v>3.0</v>
      </c>
      <c r="C15" s="30" t="s">
        <v>37</v>
      </c>
      <c r="D15" s="45">
        <v>45839.0</v>
      </c>
      <c r="E15" s="45">
        <v>45846.0</v>
      </c>
      <c r="F15" s="45">
        <v>45853.0</v>
      </c>
      <c r="G15" s="63">
        <v>45860.0</v>
      </c>
      <c r="H15" s="45">
        <v>45867.0</v>
      </c>
      <c r="I15" s="50"/>
      <c r="J15" s="50"/>
      <c r="K15" s="50"/>
      <c r="L15" s="46"/>
      <c r="M15" s="46"/>
      <c r="N15" s="34"/>
      <c r="O15" s="34"/>
      <c r="P15" s="36"/>
      <c r="Q15" s="36"/>
      <c r="R15" s="36"/>
      <c r="S15" s="36"/>
      <c r="T15" s="36"/>
      <c r="U15" s="36"/>
      <c r="V15" s="36"/>
      <c r="W15" s="36"/>
      <c r="X15" s="20"/>
      <c r="Y15" s="21"/>
      <c r="Z15" s="21"/>
      <c r="AA15" s="21"/>
      <c r="AB15" s="21"/>
      <c r="AC15" s="21"/>
      <c r="AD15" s="21"/>
      <c r="AE15" s="21"/>
      <c r="AF15" s="21"/>
    </row>
    <row r="16" ht="22.5" customHeight="1">
      <c r="B16" s="22"/>
      <c r="C16" s="37" t="s">
        <v>29</v>
      </c>
      <c r="D16" s="38">
        <v>1.0</v>
      </c>
      <c r="E16" s="38">
        <v>1.0</v>
      </c>
      <c r="F16" s="38">
        <v>1.0</v>
      </c>
      <c r="G16" s="38">
        <v>0.0</v>
      </c>
      <c r="H16" s="38">
        <v>1.0</v>
      </c>
      <c r="I16" s="45"/>
      <c r="J16" s="45"/>
      <c r="K16" s="45"/>
      <c r="L16" s="39"/>
      <c r="M16" s="39"/>
      <c r="N16" s="40"/>
      <c r="O16" s="40"/>
      <c r="P16" s="49"/>
      <c r="Q16" s="49"/>
      <c r="R16" s="49"/>
      <c r="S16" s="36"/>
      <c r="T16" s="36"/>
      <c r="U16" s="36"/>
      <c r="V16" s="36"/>
      <c r="W16" s="41">
        <v>4.0</v>
      </c>
      <c r="X16" s="42">
        <f>W16*30000</f>
        <v>120000</v>
      </c>
    </row>
    <row r="17" ht="36.0" customHeight="1">
      <c r="B17" s="28"/>
      <c r="C17" s="43" t="s">
        <v>30</v>
      </c>
      <c r="D17" s="45"/>
      <c r="E17" s="45"/>
      <c r="F17" s="45"/>
      <c r="G17" s="38" t="s">
        <v>98</v>
      </c>
      <c r="H17" s="45"/>
      <c r="I17" s="45"/>
      <c r="J17" s="45"/>
      <c r="K17" s="45"/>
      <c r="L17" s="39"/>
      <c r="M17" s="39"/>
      <c r="N17" s="40"/>
      <c r="O17" s="40"/>
      <c r="P17" s="49"/>
      <c r="Q17" s="49"/>
      <c r="R17" s="49"/>
      <c r="S17" s="36"/>
      <c r="T17" s="36"/>
      <c r="U17" s="36"/>
      <c r="V17" s="36"/>
      <c r="W17" s="36"/>
      <c r="X17" s="42">
        <f>S17*20000</f>
        <v>0</v>
      </c>
    </row>
    <row r="18" ht="22.5" customHeight="1">
      <c r="B18" s="12">
        <v>4.0</v>
      </c>
      <c r="C18" s="30" t="s">
        <v>92</v>
      </c>
      <c r="D18" s="45">
        <v>45842.0</v>
      </c>
      <c r="E18" s="45">
        <v>45845.0</v>
      </c>
      <c r="F18" s="45">
        <v>45849.0</v>
      </c>
      <c r="G18" s="45">
        <v>45852.0</v>
      </c>
      <c r="H18" s="45">
        <v>45856.0</v>
      </c>
      <c r="I18" s="63">
        <v>45859.0</v>
      </c>
      <c r="J18" s="63">
        <v>45866.0</v>
      </c>
      <c r="K18" s="63"/>
      <c r="L18" s="64"/>
      <c r="M18" s="64"/>
      <c r="N18" s="34"/>
      <c r="O18" s="34"/>
      <c r="P18" s="49"/>
      <c r="Q18" s="49"/>
      <c r="R18" s="49"/>
      <c r="S18" s="36"/>
      <c r="T18" s="36"/>
      <c r="U18" s="36"/>
      <c r="V18" s="36"/>
      <c r="W18" s="36"/>
      <c r="X18" s="20"/>
      <c r="Y18" s="21"/>
      <c r="Z18" s="21"/>
      <c r="AA18" s="21"/>
      <c r="AB18" s="21"/>
      <c r="AC18" s="21"/>
      <c r="AD18" s="21"/>
      <c r="AE18" s="21"/>
      <c r="AF18" s="21"/>
    </row>
    <row r="19" ht="22.5" customHeight="1">
      <c r="B19" s="22"/>
      <c r="C19" s="37" t="s">
        <v>29</v>
      </c>
      <c r="D19" s="38">
        <v>1.5</v>
      </c>
      <c r="E19" s="38">
        <v>1.5</v>
      </c>
      <c r="F19" s="38">
        <v>1.5</v>
      </c>
      <c r="G19" s="38">
        <v>1.5</v>
      </c>
      <c r="H19" s="38">
        <v>1.5</v>
      </c>
      <c r="I19" s="38">
        <v>0.0</v>
      </c>
      <c r="J19" s="38">
        <v>0.0</v>
      </c>
      <c r="K19" s="38"/>
      <c r="L19" s="39"/>
      <c r="M19" s="39"/>
      <c r="N19" s="40"/>
      <c r="O19" s="40"/>
      <c r="P19" s="49"/>
      <c r="Q19" s="49"/>
      <c r="R19" s="49"/>
      <c r="S19" s="36"/>
      <c r="T19" s="36"/>
      <c r="U19" s="36"/>
      <c r="V19" s="36"/>
      <c r="W19" s="41">
        <v>7.5</v>
      </c>
      <c r="X19" s="42">
        <f>W19*30000</f>
        <v>225000</v>
      </c>
    </row>
    <row r="20" ht="30.75" customHeight="1">
      <c r="B20" s="28"/>
      <c r="C20" s="43" t="s">
        <v>30</v>
      </c>
      <c r="D20" s="45"/>
      <c r="E20" s="45"/>
      <c r="F20" s="45"/>
      <c r="G20" s="45"/>
      <c r="H20" s="45"/>
      <c r="I20" s="38" t="s">
        <v>99</v>
      </c>
      <c r="J20" s="38" t="s">
        <v>100</v>
      </c>
      <c r="K20" s="38"/>
      <c r="L20" s="39"/>
      <c r="M20" s="39"/>
      <c r="N20" s="40"/>
      <c r="O20" s="40"/>
      <c r="P20" s="49"/>
      <c r="Q20" s="49"/>
      <c r="R20" s="49"/>
      <c r="S20" s="36"/>
      <c r="T20" s="36"/>
      <c r="U20" s="36"/>
      <c r="V20" s="36"/>
      <c r="W20" s="36"/>
      <c r="X20" s="42"/>
    </row>
    <row r="21" ht="22.5" customHeight="1">
      <c r="B21" s="12">
        <v>5.0</v>
      </c>
      <c r="C21" s="30" t="s">
        <v>101</v>
      </c>
      <c r="D21" s="45">
        <v>45840.0</v>
      </c>
      <c r="E21" s="45">
        <v>45842.0</v>
      </c>
      <c r="F21" s="45"/>
      <c r="G21" s="45"/>
      <c r="H21" s="45"/>
      <c r="I21" s="45"/>
      <c r="J21" s="45"/>
      <c r="K21" s="45"/>
      <c r="L21" s="64"/>
      <c r="M21" s="64"/>
      <c r="N21" s="34"/>
      <c r="O21" s="34"/>
      <c r="P21" s="36"/>
      <c r="Q21" s="36"/>
      <c r="R21" s="36"/>
      <c r="S21" s="36"/>
      <c r="T21" s="36"/>
      <c r="U21" s="36"/>
      <c r="V21" s="36"/>
      <c r="W21" s="36"/>
      <c r="X21" s="42">
        <f>S21*20000</f>
        <v>0</v>
      </c>
      <c r="Y21" s="21"/>
      <c r="Z21" s="21"/>
      <c r="AA21" s="21"/>
      <c r="AB21" s="21"/>
      <c r="AC21" s="21"/>
      <c r="AD21" s="21"/>
      <c r="AE21" s="21"/>
      <c r="AF21" s="21"/>
    </row>
    <row r="22" ht="22.5" customHeight="1">
      <c r="B22" s="22"/>
      <c r="C22" s="43" t="s">
        <v>29</v>
      </c>
      <c r="D22" s="38">
        <v>2.0</v>
      </c>
      <c r="E22" s="38">
        <v>2.0</v>
      </c>
      <c r="F22" s="45"/>
      <c r="G22" s="45"/>
      <c r="H22" s="45"/>
      <c r="I22" s="45"/>
      <c r="J22" s="45"/>
      <c r="K22" s="45"/>
      <c r="L22" s="39"/>
      <c r="M22" s="39"/>
      <c r="N22" s="40"/>
      <c r="O22" s="40"/>
      <c r="P22" s="36"/>
      <c r="Q22" s="36"/>
      <c r="R22" s="36"/>
      <c r="S22" s="36"/>
      <c r="T22" s="36"/>
      <c r="U22" s="36"/>
      <c r="V22" s="36"/>
      <c r="W22" s="41">
        <v>4.0</v>
      </c>
      <c r="X22" s="42">
        <f>W22*45000</f>
        <v>180000</v>
      </c>
    </row>
    <row r="23" ht="22.5" customHeight="1">
      <c r="B23" s="28"/>
      <c r="C23" s="43" t="s">
        <v>30</v>
      </c>
      <c r="D23" s="44" t="s">
        <v>88</v>
      </c>
      <c r="E23" s="44" t="s">
        <v>88</v>
      </c>
      <c r="F23" s="45"/>
      <c r="G23" s="45"/>
      <c r="H23" s="45"/>
      <c r="I23" s="45"/>
      <c r="J23" s="45"/>
      <c r="K23" s="45"/>
      <c r="L23" s="39"/>
      <c r="M23" s="39"/>
      <c r="N23" s="40"/>
      <c r="O23" s="40"/>
      <c r="P23" s="36"/>
      <c r="Q23" s="36"/>
      <c r="R23" s="36"/>
      <c r="S23" s="36"/>
      <c r="T23" s="36"/>
      <c r="U23" s="36"/>
      <c r="V23" s="36"/>
      <c r="W23" s="36"/>
      <c r="X23" s="42">
        <f>S23*20000</f>
        <v>0</v>
      </c>
    </row>
    <row r="24" ht="22.5" customHeight="1">
      <c r="B24" s="12">
        <v>6.0</v>
      </c>
      <c r="C24" s="30" t="s">
        <v>93</v>
      </c>
      <c r="D24" s="85">
        <v>45845.0</v>
      </c>
      <c r="E24" s="85">
        <v>45846.0</v>
      </c>
      <c r="F24" s="85">
        <v>45847.0</v>
      </c>
      <c r="G24" s="85">
        <v>45848.0</v>
      </c>
      <c r="H24" s="85">
        <v>45852.0</v>
      </c>
      <c r="I24" s="85">
        <v>45853.0</v>
      </c>
      <c r="J24" s="85">
        <v>45854.0</v>
      </c>
      <c r="K24" s="85">
        <v>45855.0</v>
      </c>
      <c r="L24" s="86">
        <v>45859.0</v>
      </c>
      <c r="M24" s="86">
        <v>45860.0</v>
      </c>
      <c r="N24" s="85">
        <v>45861.0</v>
      </c>
      <c r="O24" s="85">
        <v>45862.0</v>
      </c>
      <c r="P24" s="85">
        <v>45866.0</v>
      </c>
      <c r="Q24" s="85">
        <v>45867.0</v>
      </c>
      <c r="R24" s="85">
        <v>45868.0</v>
      </c>
      <c r="S24" s="85">
        <v>45869.0</v>
      </c>
      <c r="T24" s="46"/>
      <c r="U24" s="46"/>
      <c r="V24" s="46"/>
      <c r="W24" s="46"/>
      <c r="X24" s="42"/>
      <c r="Y24" s="21"/>
      <c r="Z24" s="21"/>
      <c r="AA24" s="21"/>
      <c r="AB24" s="21"/>
      <c r="AC24" s="21"/>
      <c r="AD24" s="21"/>
      <c r="AE24" s="21"/>
      <c r="AF24" s="21"/>
    </row>
    <row r="25" ht="22.5" customHeight="1">
      <c r="B25" s="28"/>
      <c r="C25" s="43" t="s">
        <v>29</v>
      </c>
      <c r="D25" s="43">
        <v>1.0</v>
      </c>
      <c r="E25" s="43">
        <v>1.0</v>
      </c>
      <c r="F25" s="43">
        <v>1.0</v>
      </c>
      <c r="G25" s="43">
        <v>1.0</v>
      </c>
      <c r="H25" s="43">
        <v>1.0</v>
      </c>
      <c r="I25" s="43">
        <v>1.0</v>
      </c>
      <c r="J25" s="43">
        <v>1.0</v>
      </c>
      <c r="K25" s="43">
        <v>1.0</v>
      </c>
      <c r="L25" s="43">
        <v>0.0</v>
      </c>
      <c r="M25" s="43">
        <v>0.0</v>
      </c>
      <c r="N25" s="43">
        <v>1.0</v>
      </c>
      <c r="O25" s="43">
        <v>1.0</v>
      </c>
      <c r="P25" s="43">
        <v>1.0</v>
      </c>
      <c r="Q25" s="43">
        <v>1.0</v>
      </c>
      <c r="R25" s="43">
        <v>1.0</v>
      </c>
      <c r="S25" s="43">
        <v>1.0</v>
      </c>
      <c r="T25" s="36"/>
      <c r="U25" s="36"/>
      <c r="V25" s="36"/>
      <c r="W25" s="41">
        <v>14.0</v>
      </c>
      <c r="X25" s="42">
        <f>W25*30000</f>
        <v>420000</v>
      </c>
    </row>
    <row r="26" ht="32.25" customHeight="1">
      <c r="B26" s="2"/>
      <c r="C26" s="43" t="s">
        <v>30</v>
      </c>
      <c r="D26" s="43"/>
      <c r="E26" s="43"/>
      <c r="F26" s="43"/>
      <c r="G26" s="43"/>
      <c r="H26" s="39"/>
      <c r="I26" s="39"/>
      <c r="J26" s="39"/>
      <c r="K26" s="39"/>
      <c r="L26" s="38" t="s">
        <v>102</v>
      </c>
      <c r="M26" s="38" t="s">
        <v>102</v>
      </c>
      <c r="N26" s="40"/>
      <c r="O26" s="40"/>
      <c r="P26" s="36"/>
      <c r="Q26" s="36"/>
      <c r="R26" s="36"/>
      <c r="S26" s="36"/>
      <c r="T26" s="36"/>
      <c r="U26" s="36"/>
      <c r="V26" s="36"/>
      <c r="W26" s="36"/>
      <c r="X26" s="42"/>
    </row>
    <row r="27" ht="22.5" customHeight="1">
      <c r="B27" s="12">
        <v>7.0</v>
      </c>
      <c r="C27" s="30" t="s">
        <v>103</v>
      </c>
      <c r="D27" s="45">
        <v>45849.0</v>
      </c>
      <c r="E27" s="45">
        <v>45850.0</v>
      </c>
      <c r="F27" s="45">
        <v>45853.0</v>
      </c>
      <c r="G27" s="45">
        <v>45854.0</v>
      </c>
      <c r="H27" s="50"/>
      <c r="I27" s="30"/>
      <c r="J27" s="30"/>
      <c r="K27" s="30"/>
      <c r="L27" s="64"/>
      <c r="M27" s="64"/>
      <c r="N27" s="34"/>
      <c r="O27" s="34"/>
      <c r="P27" s="36"/>
      <c r="Q27" s="36"/>
      <c r="R27" s="36"/>
      <c r="S27" s="41"/>
      <c r="T27" s="41"/>
      <c r="U27" s="41"/>
      <c r="V27" s="41"/>
      <c r="W27" s="41"/>
      <c r="X27" s="42">
        <f>S27*20000</f>
        <v>0</v>
      </c>
      <c r="Y27" s="21"/>
      <c r="Z27" s="21"/>
      <c r="AA27" s="21"/>
      <c r="AB27" s="21"/>
      <c r="AC27" s="21"/>
      <c r="AD27" s="21"/>
      <c r="AE27" s="21"/>
      <c r="AF27" s="21"/>
    </row>
    <row r="28" ht="22.5" customHeight="1">
      <c r="B28" s="22"/>
      <c r="C28" s="30" t="s">
        <v>29</v>
      </c>
      <c r="D28" s="43">
        <v>2.0</v>
      </c>
      <c r="E28" s="43">
        <v>3.0</v>
      </c>
      <c r="F28" s="43">
        <v>2.0</v>
      </c>
      <c r="G28" s="43">
        <v>3.0</v>
      </c>
      <c r="H28" s="30"/>
      <c r="I28" s="30"/>
      <c r="J28" s="30"/>
      <c r="K28" s="30"/>
      <c r="L28" s="64"/>
      <c r="M28" s="64"/>
      <c r="N28" s="34"/>
      <c r="O28" s="34"/>
      <c r="P28" s="36"/>
      <c r="Q28" s="36"/>
      <c r="R28" s="36"/>
      <c r="S28" s="41"/>
      <c r="T28" s="41"/>
      <c r="U28" s="41"/>
      <c r="V28" s="41"/>
      <c r="W28" s="41">
        <v>10.0</v>
      </c>
      <c r="X28" s="42">
        <f>W28*45000</f>
        <v>450000</v>
      </c>
      <c r="Y28" s="21"/>
      <c r="Z28" s="21"/>
      <c r="AA28" s="21"/>
      <c r="AB28" s="21"/>
      <c r="AC28" s="21"/>
      <c r="AD28" s="21"/>
      <c r="AE28" s="21"/>
      <c r="AF28" s="21"/>
    </row>
    <row r="29" ht="22.5" customHeight="1">
      <c r="B29" s="28"/>
      <c r="C29" s="43" t="s">
        <v>30</v>
      </c>
      <c r="D29" s="44" t="s">
        <v>88</v>
      </c>
      <c r="E29" s="44" t="s">
        <v>88</v>
      </c>
      <c r="F29" s="44" t="s">
        <v>88</v>
      </c>
      <c r="G29" s="44" t="s">
        <v>88</v>
      </c>
      <c r="H29" s="39"/>
      <c r="I29" s="39"/>
      <c r="J29" s="39"/>
      <c r="K29" s="39"/>
      <c r="L29" s="39"/>
      <c r="M29" s="39"/>
      <c r="N29" s="40"/>
      <c r="O29" s="40"/>
      <c r="P29" s="36"/>
      <c r="Q29" s="36"/>
      <c r="R29" s="36"/>
      <c r="S29" s="36"/>
      <c r="T29" s="36"/>
      <c r="U29" s="36"/>
      <c r="V29" s="36"/>
      <c r="W29" s="36"/>
      <c r="X29" s="42">
        <f t="shared" ref="X29:X30" si="1">S29*20000</f>
        <v>0</v>
      </c>
    </row>
    <row r="30" ht="22.5" customHeight="1">
      <c r="B30" s="12">
        <v>8.0</v>
      </c>
      <c r="C30" s="30" t="s">
        <v>94</v>
      </c>
      <c r="D30" s="45">
        <v>45869.0</v>
      </c>
      <c r="E30" s="64"/>
      <c r="F30" s="64"/>
      <c r="G30" s="64"/>
      <c r="H30" s="64"/>
      <c r="I30" s="64"/>
      <c r="J30" s="64"/>
      <c r="K30" s="64"/>
      <c r="L30" s="64"/>
      <c r="M30" s="64"/>
      <c r="N30" s="34"/>
      <c r="O30" s="34"/>
      <c r="P30" s="36"/>
      <c r="Q30" s="36"/>
      <c r="R30" s="36"/>
      <c r="S30" s="36"/>
      <c r="T30" s="36"/>
      <c r="U30" s="36"/>
      <c r="V30" s="36"/>
      <c r="W30" s="36"/>
      <c r="X30" s="42">
        <f t="shared" si="1"/>
        <v>0</v>
      </c>
      <c r="Y30" s="21"/>
      <c r="Z30" s="21"/>
      <c r="AA30" s="21"/>
      <c r="AB30" s="21"/>
      <c r="AC30" s="21"/>
      <c r="AD30" s="21"/>
      <c r="AE30" s="21"/>
      <c r="AF30" s="21"/>
    </row>
    <row r="31" ht="22.5" customHeight="1">
      <c r="B31" s="22"/>
      <c r="C31" s="30" t="s">
        <v>29</v>
      </c>
      <c r="D31" s="43">
        <v>2.0</v>
      </c>
      <c r="E31" s="64"/>
      <c r="F31" s="64"/>
      <c r="G31" s="64"/>
      <c r="H31" s="64"/>
      <c r="I31" s="64"/>
      <c r="J31" s="64"/>
      <c r="K31" s="64"/>
      <c r="L31" s="64"/>
      <c r="M31" s="64"/>
      <c r="N31" s="34"/>
      <c r="O31" s="34"/>
      <c r="P31" s="36"/>
      <c r="Q31" s="36"/>
      <c r="R31" s="36"/>
      <c r="S31" s="36"/>
      <c r="T31" s="36"/>
      <c r="U31" s="36"/>
      <c r="V31" s="36"/>
      <c r="W31" s="41">
        <v>2.0</v>
      </c>
      <c r="X31" s="42">
        <f>W31*45000</f>
        <v>90000</v>
      </c>
      <c r="Y31" s="21"/>
      <c r="Z31" s="21"/>
      <c r="AA31" s="21"/>
      <c r="AB31" s="21"/>
      <c r="AC31" s="21"/>
      <c r="AD31" s="21"/>
      <c r="AE31" s="21"/>
      <c r="AF31" s="21"/>
    </row>
    <row r="32" ht="22.5" customHeight="1">
      <c r="B32" s="28"/>
      <c r="C32" s="43" t="s">
        <v>30</v>
      </c>
      <c r="D32" s="44" t="s">
        <v>88</v>
      </c>
      <c r="E32" s="39"/>
      <c r="F32" s="39"/>
      <c r="G32" s="39"/>
      <c r="H32" s="39"/>
      <c r="I32" s="39"/>
      <c r="J32" s="39"/>
      <c r="K32" s="39"/>
      <c r="L32" s="39"/>
      <c r="M32" s="39"/>
      <c r="N32" s="40"/>
      <c r="O32" s="40"/>
      <c r="P32" s="36"/>
      <c r="Q32" s="36"/>
      <c r="R32" s="36"/>
      <c r="S32" s="36"/>
      <c r="T32" s="36"/>
      <c r="U32" s="36"/>
      <c r="V32" s="36"/>
      <c r="W32" s="36"/>
      <c r="X32" s="42">
        <f>S32*20000</f>
        <v>0</v>
      </c>
    </row>
    <row r="33">
      <c r="A33" s="1"/>
      <c r="B33" s="30" t="s">
        <v>46</v>
      </c>
      <c r="C33" s="67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39"/>
      <c r="U33" s="39"/>
      <c r="V33" s="39"/>
      <c r="W33" s="39"/>
      <c r="X33" s="68">
        <f>SUM(X6:X32)</f>
        <v>2355000</v>
      </c>
    </row>
    <row r="34">
      <c r="A34" s="1"/>
      <c r="B34" s="30" t="s">
        <v>47</v>
      </c>
      <c r="C34" s="6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39"/>
      <c r="U34" s="39"/>
      <c r="V34" s="39"/>
      <c r="W34" s="39"/>
      <c r="X34" s="68">
        <f>X33-(X33*0.033)</f>
        <v>2277285</v>
      </c>
    </row>
    <row r="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69"/>
      <c r="Q35" s="69"/>
      <c r="R35" s="69"/>
      <c r="S35" s="69"/>
      <c r="T35" s="69"/>
      <c r="U35" s="69"/>
      <c r="V35" s="69"/>
      <c r="W35" s="69"/>
      <c r="X35" s="40"/>
    </row>
  </sheetData>
  <mergeCells count="17">
    <mergeCell ref="B9:B11"/>
    <mergeCell ref="B12:B14"/>
    <mergeCell ref="B15:B17"/>
    <mergeCell ref="B18:B20"/>
    <mergeCell ref="B21:B23"/>
    <mergeCell ref="B24:B25"/>
    <mergeCell ref="B27:B29"/>
    <mergeCell ref="B30:B32"/>
    <mergeCell ref="C33:S33"/>
    <mergeCell ref="C34:S34"/>
    <mergeCell ref="A1:A5"/>
    <mergeCell ref="B1:O1"/>
    <mergeCell ref="D2:F2"/>
    <mergeCell ref="D3:F3"/>
    <mergeCell ref="B4:O4"/>
    <mergeCell ref="A6:A32"/>
    <mergeCell ref="B6:B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38"/>
    <col customWidth="1" min="2" max="2" width="9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B4" s="7"/>
    </row>
    <row r="5" ht="22.5" customHeight="1"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9" t="s">
        <v>23</v>
      </c>
      <c r="Q5" s="9" t="s">
        <v>24</v>
      </c>
      <c r="R5" s="9" t="s">
        <v>25</v>
      </c>
      <c r="S5" s="10" t="s">
        <v>26</v>
      </c>
      <c r="T5" s="11" t="s">
        <v>27</v>
      </c>
    </row>
    <row r="6" ht="22.5" customHeight="1">
      <c r="A6" s="1"/>
      <c r="B6" s="2">
        <v>0.0</v>
      </c>
      <c r="C6" s="30" t="s">
        <v>28</v>
      </c>
      <c r="D6" s="87">
        <v>45628.0</v>
      </c>
      <c r="E6" s="87">
        <v>45631.0</v>
      </c>
      <c r="F6" s="86">
        <v>45634.0</v>
      </c>
      <c r="G6" s="87">
        <v>45641.0</v>
      </c>
      <c r="H6" s="87">
        <v>45644.0</v>
      </c>
      <c r="I6" s="87">
        <v>45646.0</v>
      </c>
      <c r="J6" s="87">
        <v>45647.0</v>
      </c>
      <c r="K6" s="86">
        <v>45649.0</v>
      </c>
      <c r="L6" s="64"/>
      <c r="M6" s="64"/>
      <c r="N6" s="34"/>
      <c r="O6" s="34"/>
      <c r="P6" s="88">
        <v>46003.0</v>
      </c>
      <c r="Q6" s="36"/>
      <c r="R6" s="36"/>
      <c r="S6" s="36"/>
      <c r="T6" s="20"/>
      <c r="U6" s="21"/>
      <c r="V6" s="21"/>
      <c r="W6" s="21"/>
      <c r="X6" s="21"/>
      <c r="Y6" s="21"/>
      <c r="Z6" s="21"/>
      <c r="AA6" s="21"/>
      <c r="AB6" s="21"/>
    </row>
    <row r="7" ht="33.75" customHeight="1">
      <c r="B7" s="2"/>
      <c r="C7" s="37" t="s">
        <v>29</v>
      </c>
      <c r="D7" s="89">
        <v>2.0</v>
      </c>
      <c r="E7" s="89">
        <v>1.5</v>
      </c>
      <c r="F7" s="37">
        <v>0.0</v>
      </c>
      <c r="G7" s="89">
        <v>1.5</v>
      </c>
      <c r="H7" s="37">
        <v>2.0</v>
      </c>
      <c r="I7" s="89">
        <v>1.0</v>
      </c>
      <c r="J7" s="89">
        <v>2.0</v>
      </c>
      <c r="K7" s="37">
        <v>0.0</v>
      </c>
      <c r="L7" s="39"/>
      <c r="M7" s="39"/>
      <c r="N7" s="40"/>
      <c r="O7" s="40"/>
      <c r="P7" s="89">
        <v>2.0</v>
      </c>
      <c r="Q7" s="36"/>
      <c r="R7" s="36"/>
      <c r="S7" s="89">
        <f>SUM(D7:R7)</f>
        <v>12</v>
      </c>
      <c r="T7" s="27">
        <v>0.0</v>
      </c>
    </row>
    <row r="8" ht="33.75" customHeight="1">
      <c r="B8" s="2"/>
      <c r="C8" s="43" t="s">
        <v>30</v>
      </c>
      <c r="D8" s="39"/>
      <c r="E8" s="39"/>
      <c r="F8" s="43" t="s">
        <v>31</v>
      </c>
      <c r="G8" s="39"/>
      <c r="H8" s="43" t="s">
        <v>32</v>
      </c>
      <c r="I8" s="39"/>
      <c r="J8" s="39"/>
      <c r="K8" s="43" t="s">
        <v>33</v>
      </c>
      <c r="L8" s="39"/>
      <c r="M8" s="39"/>
      <c r="N8" s="40"/>
      <c r="O8" s="40"/>
      <c r="P8" s="89"/>
      <c r="Q8" s="36"/>
      <c r="R8" s="36"/>
      <c r="S8" s="89"/>
      <c r="T8" s="20"/>
    </row>
    <row r="9" ht="22.5" customHeight="1">
      <c r="B9" s="12">
        <v>1.0</v>
      </c>
      <c r="C9" s="30" t="s">
        <v>34</v>
      </c>
      <c r="D9" s="45">
        <v>45813.0</v>
      </c>
      <c r="E9" s="45">
        <v>45817.0</v>
      </c>
      <c r="F9" s="45">
        <v>45820.0</v>
      </c>
      <c r="G9" s="45">
        <v>45824.0</v>
      </c>
      <c r="H9" s="45">
        <v>45827.0</v>
      </c>
      <c r="I9" s="45">
        <v>45831.0</v>
      </c>
      <c r="J9" s="45">
        <v>45834.0</v>
      </c>
      <c r="K9" s="45">
        <v>45838.0</v>
      </c>
      <c r="L9" s="46"/>
      <c r="M9" s="46"/>
      <c r="N9" s="34"/>
      <c r="O9" s="34"/>
      <c r="P9" s="35">
        <v>45758.0</v>
      </c>
      <c r="Q9" s="36"/>
      <c r="R9" s="36"/>
      <c r="S9" s="36"/>
      <c r="T9" s="20"/>
      <c r="U9" s="21"/>
      <c r="V9" s="21"/>
      <c r="W9" s="21"/>
      <c r="X9" s="21"/>
      <c r="Y9" s="21"/>
      <c r="Z9" s="21"/>
      <c r="AA9" s="21"/>
      <c r="AB9" s="21"/>
    </row>
    <row r="10" ht="22.5" customHeight="1">
      <c r="B10" s="22"/>
      <c r="C10" s="37" t="s">
        <v>29</v>
      </c>
      <c r="D10" s="43">
        <v>1.5</v>
      </c>
      <c r="E10" s="43">
        <v>1.5</v>
      </c>
      <c r="F10" s="43">
        <v>1.5</v>
      </c>
      <c r="G10" s="43">
        <v>1.5</v>
      </c>
      <c r="H10" s="43">
        <v>1.5</v>
      </c>
      <c r="I10" s="43">
        <v>1.5</v>
      </c>
      <c r="J10" s="43">
        <v>1.5</v>
      </c>
      <c r="K10" s="43">
        <v>1.5</v>
      </c>
      <c r="L10" s="39"/>
      <c r="M10" s="39"/>
      <c r="N10" s="40"/>
      <c r="O10" s="40"/>
      <c r="P10" s="36"/>
      <c r="Q10" s="36"/>
      <c r="R10" s="36"/>
      <c r="S10" s="41">
        <v>12.0</v>
      </c>
      <c r="T10" s="42">
        <f>S10*30000</f>
        <v>360000</v>
      </c>
    </row>
    <row r="11" ht="30.75" customHeight="1">
      <c r="B11" s="28"/>
      <c r="C11" s="43" t="s">
        <v>30</v>
      </c>
      <c r="D11" s="39"/>
      <c r="E11" s="39"/>
      <c r="F11" s="43"/>
      <c r="G11" s="39"/>
      <c r="H11" s="39"/>
      <c r="I11" s="43"/>
      <c r="J11" s="39"/>
      <c r="K11" s="39"/>
      <c r="L11" s="39"/>
      <c r="M11" s="39"/>
      <c r="N11" s="40"/>
      <c r="O11" s="40"/>
      <c r="P11" s="36"/>
      <c r="Q11" s="36"/>
      <c r="R11" s="36"/>
      <c r="S11" s="36"/>
      <c r="T11" s="20"/>
    </row>
    <row r="12" ht="22.5" customHeight="1">
      <c r="B12" s="12">
        <v>2.0</v>
      </c>
      <c r="C12" s="30" t="s">
        <v>42</v>
      </c>
      <c r="D12" s="57">
        <v>45812.0</v>
      </c>
      <c r="E12" s="57">
        <v>45814.0</v>
      </c>
      <c r="F12" s="57">
        <v>45819.0</v>
      </c>
      <c r="G12" s="57">
        <v>45821.0</v>
      </c>
      <c r="H12" s="57">
        <v>45826.0</v>
      </c>
      <c r="I12" s="57">
        <v>45828.0</v>
      </c>
      <c r="J12" s="57">
        <v>45833.0</v>
      </c>
      <c r="K12" s="57">
        <v>45835.0</v>
      </c>
      <c r="L12" s="64"/>
      <c r="M12" s="64"/>
      <c r="N12" s="34"/>
      <c r="O12" s="34"/>
      <c r="P12" s="36"/>
      <c r="Q12" s="36"/>
      <c r="R12" s="36"/>
      <c r="S12" s="36"/>
      <c r="T12" s="42">
        <f>S12*20000</f>
        <v>0</v>
      </c>
      <c r="U12" s="21"/>
      <c r="V12" s="21"/>
      <c r="W12" s="21"/>
      <c r="X12" s="21"/>
      <c r="Y12" s="21"/>
      <c r="Z12" s="21"/>
      <c r="AA12" s="21"/>
      <c r="AB12" s="21"/>
    </row>
    <row r="13" ht="22.5" customHeight="1">
      <c r="B13" s="22"/>
      <c r="C13" s="37" t="s">
        <v>29</v>
      </c>
      <c r="D13" s="43">
        <v>2.0</v>
      </c>
      <c r="E13" s="43">
        <v>2.0</v>
      </c>
      <c r="F13" s="43">
        <v>2.0</v>
      </c>
      <c r="G13" s="43">
        <v>2.0</v>
      </c>
      <c r="H13" s="43">
        <v>2.0</v>
      </c>
      <c r="I13" s="43">
        <v>2.0</v>
      </c>
      <c r="J13" s="43">
        <v>2.0</v>
      </c>
      <c r="K13" s="43">
        <v>2.0</v>
      </c>
      <c r="L13" s="39"/>
      <c r="M13" s="39"/>
      <c r="N13" s="40"/>
      <c r="O13" s="40"/>
      <c r="P13" s="36"/>
      <c r="Q13" s="36"/>
      <c r="R13" s="36"/>
      <c r="S13" s="41">
        <v>16.0</v>
      </c>
      <c r="T13" s="42">
        <f>S13*30000</f>
        <v>480000</v>
      </c>
    </row>
    <row r="14" ht="29.25" customHeight="1">
      <c r="B14" s="28"/>
      <c r="C14" s="43" t="s">
        <v>30</v>
      </c>
      <c r="D14" s="43"/>
      <c r="E14" s="39"/>
      <c r="F14" s="39"/>
      <c r="G14" s="43"/>
      <c r="H14" s="43"/>
      <c r="I14" s="39"/>
      <c r="J14" s="39"/>
      <c r="K14" s="39"/>
      <c r="L14" s="39"/>
      <c r="M14" s="39"/>
      <c r="N14" s="40"/>
      <c r="O14" s="40"/>
      <c r="P14" s="36"/>
      <c r="Q14" s="36"/>
      <c r="R14" s="36"/>
      <c r="S14" s="36"/>
      <c r="T14" s="42">
        <f>S14*20000</f>
        <v>0</v>
      </c>
    </row>
    <row r="15" ht="22.5" customHeight="1">
      <c r="B15" s="12">
        <v>3.0</v>
      </c>
      <c r="C15" s="30" t="s">
        <v>37</v>
      </c>
      <c r="D15" s="45">
        <v>45814.0</v>
      </c>
      <c r="E15" s="45">
        <v>45818.0</v>
      </c>
      <c r="F15" s="45">
        <v>45821.0</v>
      </c>
      <c r="G15" s="63">
        <v>45825.0</v>
      </c>
      <c r="H15" s="45">
        <v>45827.0</v>
      </c>
      <c r="I15" s="45">
        <v>45828.0</v>
      </c>
      <c r="J15" s="45">
        <v>45832.0</v>
      </c>
      <c r="K15" s="45">
        <v>45833.0</v>
      </c>
      <c r="L15" s="46"/>
      <c r="M15" s="46"/>
      <c r="N15" s="34"/>
      <c r="O15" s="34"/>
      <c r="P15" s="36"/>
      <c r="Q15" s="36"/>
      <c r="R15" s="36"/>
      <c r="S15" s="36"/>
      <c r="T15" s="20"/>
      <c r="U15" s="21"/>
      <c r="V15" s="21"/>
      <c r="W15" s="21"/>
      <c r="X15" s="21"/>
      <c r="Y15" s="21"/>
      <c r="Z15" s="21"/>
      <c r="AA15" s="21"/>
      <c r="AB15" s="21"/>
    </row>
    <row r="16" ht="22.5" customHeight="1">
      <c r="B16" s="22"/>
      <c r="C16" s="37" t="s">
        <v>29</v>
      </c>
      <c r="D16" s="43">
        <v>1.0</v>
      </c>
      <c r="E16" s="43">
        <v>1.0</v>
      </c>
      <c r="F16" s="43">
        <v>1.0</v>
      </c>
      <c r="G16" s="7">
        <v>0.0</v>
      </c>
      <c r="H16" s="43">
        <v>1.0</v>
      </c>
      <c r="I16" s="43">
        <v>1.0</v>
      </c>
      <c r="J16" s="43">
        <v>1.0</v>
      </c>
      <c r="K16" s="43">
        <v>1.0</v>
      </c>
      <c r="L16" s="39"/>
      <c r="M16" s="39"/>
      <c r="N16" s="40"/>
      <c r="O16" s="40"/>
      <c r="P16" s="49"/>
      <c r="Q16" s="49"/>
      <c r="R16" s="49"/>
      <c r="S16" s="41">
        <v>7.0</v>
      </c>
      <c r="T16" s="42">
        <f>S16*30000</f>
        <v>210000</v>
      </c>
    </row>
    <row r="17" ht="36.0" customHeight="1">
      <c r="B17" s="28"/>
      <c r="C17" s="43" t="s">
        <v>30</v>
      </c>
      <c r="D17" s="43"/>
      <c r="E17" s="43"/>
      <c r="F17" s="43"/>
      <c r="G17" s="43" t="s">
        <v>104</v>
      </c>
      <c r="H17" s="43" t="s">
        <v>105</v>
      </c>
      <c r="I17" s="43"/>
      <c r="J17" s="43"/>
      <c r="K17" s="43" t="s">
        <v>106</v>
      </c>
      <c r="L17" s="39"/>
      <c r="M17" s="39"/>
      <c r="N17" s="40"/>
      <c r="O17" s="40"/>
      <c r="P17" s="49"/>
      <c r="Q17" s="49"/>
      <c r="R17" s="49"/>
      <c r="S17" s="36"/>
      <c r="T17" s="42">
        <f>S17*20000</f>
        <v>0</v>
      </c>
    </row>
    <row r="18" ht="22.5" customHeight="1">
      <c r="B18" s="12">
        <v>4.0</v>
      </c>
      <c r="C18" s="30" t="s">
        <v>92</v>
      </c>
      <c r="D18" s="85">
        <v>45817.0</v>
      </c>
      <c r="E18" s="85">
        <v>45821.0</v>
      </c>
      <c r="F18" s="85">
        <v>45824.0</v>
      </c>
      <c r="G18" s="85">
        <v>45828.0</v>
      </c>
      <c r="H18" s="85">
        <v>45831.0</v>
      </c>
      <c r="I18" s="85">
        <v>45835.0</v>
      </c>
      <c r="J18" s="85">
        <v>45838.0</v>
      </c>
      <c r="K18" s="64"/>
      <c r="L18" s="64"/>
      <c r="M18" s="64"/>
      <c r="N18" s="34"/>
      <c r="O18" s="34"/>
      <c r="P18" s="49"/>
      <c r="Q18" s="49"/>
      <c r="R18" s="49"/>
      <c r="S18" s="36"/>
      <c r="T18" s="20"/>
      <c r="U18" s="21"/>
      <c r="V18" s="21"/>
      <c r="W18" s="21"/>
      <c r="X18" s="21"/>
      <c r="Y18" s="21"/>
      <c r="Z18" s="21"/>
      <c r="AA18" s="21"/>
      <c r="AB18" s="21"/>
    </row>
    <row r="19" ht="22.5" customHeight="1">
      <c r="B19" s="22"/>
      <c r="C19" s="37" t="s">
        <v>29</v>
      </c>
      <c r="D19" s="43">
        <v>1.5</v>
      </c>
      <c r="E19" s="43">
        <v>1.5</v>
      </c>
      <c r="F19" s="43">
        <v>1.5</v>
      </c>
      <c r="G19" s="43">
        <v>1.5</v>
      </c>
      <c r="H19" s="43">
        <v>1.5</v>
      </c>
      <c r="I19" s="43">
        <v>1.5</v>
      </c>
      <c r="J19" s="43">
        <v>1.5</v>
      </c>
      <c r="K19" s="39"/>
      <c r="L19" s="39"/>
      <c r="M19" s="39"/>
      <c r="N19" s="40"/>
      <c r="O19" s="40"/>
      <c r="P19" s="49"/>
      <c r="Q19" s="49"/>
      <c r="R19" s="49"/>
      <c r="S19" s="41">
        <v>10.5</v>
      </c>
      <c r="T19" s="42">
        <f>S19*30000</f>
        <v>315000</v>
      </c>
    </row>
    <row r="20" ht="22.5" customHeight="1">
      <c r="B20" s="28"/>
      <c r="C20" s="43" t="s">
        <v>30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40"/>
      <c r="O20" s="40"/>
      <c r="P20" s="49"/>
      <c r="Q20" s="49"/>
      <c r="R20" s="49"/>
      <c r="S20" s="36"/>
      <c r="T20" s="42"/>
    </row>
    <row r="21" ht="22.5" customHeight="1">
      <c r="B21" s="12">
        <v>5.0</v>
      </c>
      <c r="C21" s="30" t="s">
        <v>101</v>
      </c>
      <c r="D21" s="85">
        <v>45835.0</v>
      </c>
      <c r="E21" s="85">
        <v>45836.0</v>
      </c>
      <c r="F21" s="85">
        <v>45838.0</v>
      </c>
      <c r="G21" s="64"/>
      <c r="H21" s="64"/>
      <c r="I21" s="64"/>
      <c r="J21" s="64"/>
      <c r="K21" s="64"/>
      <c r="L21" s="64"/>
      <c r="M21" s="64"/>
      <c r="N21" s="34"/>
      <c r="O21" s="34"/>
      <c r="P21" s="36"/>
      <c r="Q21" s="36"/>
      <c r="R21" s="36"/>
      <c r="S21" s="36"/>
      <c r="T21" s="42">
        <f>S21*20000</f>
        <v>0</v>
      </c>
      <c r="U21" s="21"/>
      <c r="V21" s="21"/>
      <c r="W21" s="21"/>
      <c r="X21" s="21"/>
      <c r="Y21" s="21"/>
      <c r="Z21" s="21"/>
      <c r="AA21" s="21"/>
      <c r="AB21" s="21"/>
    </row>
    <row r="22" ht="22.5" customHeight="1">
      <c r="B22" s="22"/>
      <c r="C22" s="43" t="s">
        <v>29</v>
      </c>
      <c r="D22" s="43">
        <v>2.0</v>
      </c>
      <c r="E22" s="43">
        <v>2.0</v>
      </c>
      <c r="F22" s="43">
        <v>2.0</v>
      </c>
      <c r="G22" s="39"/>
      <c r="H22" s="39"/>
      <c r="I22" s="39"/>
      <c r="J22" s="39"/>
      <c r="K22" s="39"/>
      <c r="L22" s="39"/>
      <c r="M22" s="39"/>
      <c r="N22" s="40"/>
      <c r="O22" s="40"/>
      <c r="P22" s="36"/>
      <c r="Q22" s="36"/>
      <c r="R22" s="36"/>
      <c r="S22" s="41">
        <v>6.0</v>
      </c>
      <c r="T22" s="42">
        <f>S22*45000</f>
        <v>270000</v>
      </c>
    </row>
    <row r="23" ht="22.5" customHeight="1">
      <c r="B23" s="28"/>
      <c r="C23" s="43" t="s">
        <v>30</v>
      </c>
      <c r="D23" s="43" t="s">
        <v>88</v>
      </c>
      <c r="E23" s="43" t="s">
        <v>88</v>
      </c>
      <c r="F23" s="43" t="s">
        <v>88</v>
      </c>
      <c r="G23" s="39"/>
      <c r="H23" s="39"/>
      <c r="I23" s="39"/>
      <c r="J23" s="39"/>
      <c r="K23" s="39"/>
      <c r="L23" s="39"/>
      <c r="M23" s="39"/>
      <c r="N23" s="40"/>
      <c r="O23" s="40"/>
      <c r="P23" s="36"/>
      <c r="Q23" s="36"/>
      <c r="R23" s="36"/>
      <c r="S23" s="36"/>
      <c r="T23" s="42">
        <f t="shared" ref="T23:T29" si="1">S23*20000</f>
        <v>0</v>
      </c>
    </row>
    <row r="24" ht="22.5" customHeight="1">
      <c r="B24" s="12">
        <v>6.0</v>
      </c>
      <c r="C24" s="64"/>
      <c r="D24" s="30"/>
      <c r="E24" s="30"/>
      <c r="F24" s="30"/>
      <c r="G24" s="30"/>
      <c r="H24" s="30"/>
      <c r="I24" s="30"/>
      <c r="J24" s="30"/>
      <c r="K24" s="30"/>
      <c r="L24" s="64"/>
      <c r="M24" s="64"/>
      <c r="N24" s="34"/>
      <c r="O24" s="34"/>
      <c r="P24" s="36"/>
      <c r="Q24" s="36"/>
      <c r="R24" s="36"/>
      <c r="S24" s="41"/>
      <c r="T24" s="42">
        <f t="shared" si="1"/>
        <v>0</v>
      </c>
      <c r="U24" s="21"/>
      <c r="V24" s="21"/>
      <c r="W24" s="21"/>
      <c r="X24" s="21"/>
      <c r="Y24" s="21"/>
      <c r="Z24" s="21"/>
      <c r="AA24" s="21"/>
      <c r="AB24" s="21"/>
    </row>
    <row r="25" ht="22.5" customHeight="1">
      <c r="B25" s="28"/>
      <c r="C25" s="43" t="s">
        <v>30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40"/>
      <c r="P25" s="36"/>
      <c r="Q25" s="36"/>
      <c r="R25" s="36"/>
      <c r="S25" s="36"/>
      <c r="T25" s="42">
        <f t="shared" si="1"/>
        <v>0</v>
      </c>
    </row>
    <row r="26" ht="22.5" customHeight="1">
      <c r="B26" s="12">
        <v>7.0</v>
      </c>
      <c r="C26" s="64"/>
      <c r="D26" s="30"/>
      <c r="E26" s="30"/>
      <c r="F26" s="30"/>
      <c r="G26" s="30"/>
      <c r="H26" s="30"/>
      <c r="I26" s="30"/>
      <c r="J26" s="30"/>
      <c r="K26" s="30"/>
      <c r="L26" s="64"/>
      <c r="M26" s="64"/>
      <c r="N26" s="34"/>
      <c r="O26" s="34"/>
      <c r="P26" s="36"/>
      <c r="Q26" s="36"/>
      <c r="R26" s="36"/>
      <c r="S26" s="41"/>
      <c r="T26" s="42">
        <f t="shared" si="1"/>
        <v>0</v>
      </c>
      <c r="U26" s="21"/>
      <c r="V26" s="21"/>
      <c r="W26" s="21"/>
      <c r="X26" s="21"/>
      <c r="Y26" s="21"/>
      <c r="Z26" s="21"/>
      <c r="AA26" s="21"/>
      <c r="AB26" s="21"/>
    </row>
    <row r="27" ht="22.5" customHeight="1">
      <c r="B27" s="28"/>
      <c r="C27" s="43" t="s">
        <v>30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40"/>
      <c r="P27" s="36"/>
      <c r="Q27" s="36"/>
      <c r="R27" s="36"/>
      <c r="S27" s="36"/>
      <c r="T27" s="42">
        <f t="shared" si="1"/>
        <v>0</v>
      </c>
    </row>
    <row r="28" ht="22.5" customHeight="1">
      <c r="B28" s="12">
        <v>8.0</v>
      </c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34"/>
      <c r="O28" s="34"/>
      <c r="P28" s="36"/>
      <c r="Q28" s="36"/>
      <c r="R28" s="36"/>
      <c r="S28" s="36"/>
      <c r="T28" s="42">
        <f t="shared" si="1"/>
        <v>0</v>
      </c>
      <c r="U28" s="21"/>
      <c r="V28" s="21"/>
      <c r="W28" s="21"/>
      <c r="X28" s="21"/>
      <c r="Y28" s="21"/>
      <c r="Z28" s="21"/>
      <c r="AA28" s="21"/>
      <c r="AB28" s="21"/>
    </row>
    <row r="29" ht="22.5" customHeight="1">
      <c r="B29" s="28"/>
      <c r="C29" s="43" t="s">
        <v>30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40"/>
      <c r="O29" s="40"/>
      <c r="P29" s="36"/>
      <c r="Q29" s="36"/>
      <c r="R29" s="36"/>
      <c r="S29" s="36"/>
      <c r="T29" s="42">
        <f t="shared" si="1"/>
        <v>0</v>
      </c>
    </row>
    <row r="30">
      <c r="A30" s="1"/>
      <c r="B30" s="30" t="s">
        <v>46</v>
      </c>
      <c r="C30" s="6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6"/>
      <c r="T30" s="68">
        <f>SUM(T6:T29)</f>
        <v>1635000</v>
      </c>
    </row>
    <row r="31">
      <c r="A31" s="1"/>
      <c r="B31" s="30" t="s">
        <v>47</v>
      </c>
      <c r="C31" s="67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  <c r="T31" s="68">
        <f>T30-(T30*0.033)</f>
        <v>1581045</v>
      </c>
    </row>
    <row r="32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69"/>
      <c r="Q32" s="69"/>
      <c r="R32" s="69"/>
      <c r="S32" s="69"/>
      <c r="T32" s="40"/>
    </row>
  </sheetData>
  <mergeCells count="16">
    <mergeCell ref="B12:B14"/>
    <mergeCell ref="B15:B17"/>
    <mergeCell ref="B18:B20"/>
    <mergeCell ref="B21:B23"/>
    <mergeCell ref="B24:B25"/>
    <mergeCell ref="B26:B27"/>
    <mergeCell ref="C30:S30"/>
    <mergeCell ref="C31:S31"/>
    <mergeCell ref="A1:A5"/>
    <mergeCell ref="B1:O1"/>
    <mergeCell ref="D2:F2"/>
    <mergeCell ref="D3:F3"/>
    <mergeCell ref="B4:O4"/>
    <mergeCell ref="A6:A29"/>
    <mergeCell ref="B9:B11"/>
    <mergeCell ref="B28:B2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38"/>
    <col customWidth="1" min="2" max="2" width="9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B4" s="7"/>
    </row>
    <row r="5" ht="22.5" customHeight="1">
      <c r="B5" s="2"/>
      <c r="C5" s="2" t="s">
        <v>6</v>
      </c>
      <c r="D5" s="90" t="s">
        <v>107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9" t="s">
        <v>23</v>
      </c>
      <c r="R5" s="9" t="s">
        <v>24</v>
      </c>
      <c r="S5" s="9" t="s">
        <v>25</v>
      </c>
      <c r="T5" s="10" t="s">
        <v>26</v>
      </c>
      <c r="U5" s="11" t="s">
        <v>27</v>
      </c>
    </row>
    <row r="6" ht="22.5" customHeight="1">
      <c r="A6" s="1"/>
      <c r="B6" s="2">
        <v>0.0</v>
      </c>
      <c r="C6" s="30" t="s">
        <v>28</v>
      </c>
      <c r="D6" s="91">
        <v>45657.0</v>
      </c>
      <c r="E6" s="87">
        <v>45628.0</v>
      </c>
      <c r="F6" s="87">
        <v>45631.0</v>
      </c>
      <c r="G6" s="86">
        <v>45634.0</v>
      </c>
      <c r="H6" s="87">
        <v>45641.0</v>
      </c>
      <c r="I6" s="87">
        <v>45644.0</v>
      </c>
      <c r="J6" s="87">
        <v>45646.0</v>
      </c>
      <c r="K6" s="87">
        <v>45647.0</v>
      </c>
      <c r="L6" s="86">
        <v>45649.0</v>
      </c>
      <c r="M6" s="64"/>
      <c r="N6" s="64"/>
      <c r="O6" s="34"/>
      <c r="P6" s="34"/>
      <c r="Q6" s="88">
        <v>46003.0</v>
      </c>
      <c r="R6" s="36"/>
      <c r="S6" s="36"/>
      <c r="T6" s="36"/>
      <c r="U6" s="20"/>
      <c r="V6" s="21"/>
      <c r="W6" s="21"/>
      <c r="X6" s="21"/>
      <c r="Y6" s="21"/>
      <c r="Z6" s="21"/>
      <c r="AA6" s="21"/>
      <c r="AB6" s="21"/>
      <c r="AC6" s="21"/>
    </row>
    <row r="7" ht="33.75" customHeight="1">
      <c r="B7" s="2"/>
      <c r="C7" s="37" t="s">
        <v>29</v>
      </c>
      <c r="D7" s="92"/>
      <c r="E7" s="89">
        <v>2.0</v>
      </c>
      <c r="F7" s="89">
        <v>1.5</v>
      </c>
      <c r="G7" s="37">
        <v>0.0</v>
      </c>
      <c r="H7" s="89">
        <v>1.5</v>
      </c>
      <c r="I7" s="37">
        <v>2.0</v>
      </c>
      <c r="J7" s="89">
        <v>1.0</v>
      </c>
      <c r="K7" s="89">
        <v>2.0</v>
      </c>
      <c r="L7" s="37">
        <v>0.0</v>
      </c>
      <c r="M7" s="39"/>
      <c r="N7" s="39"/>
      <c r="O7" s="40"/>
      <c r="P7" s="40"/>
      <c r="Q7" s="89">
        <v>2.0</v>
      </c>
      <c r="R7" s="36"/>
      <c r="S7" s="36"/>
      <c r="T7" s="89">
        <f>SUM(D7:S7)</f>
        <v>12</v>
      </c>
      <c r="U7" s="27">
        <v>0.0</v>
      </c>
    </row>
    <row r="8" ht="33.75" customHeight="1">
      <c r="B8" s="2"/>
      <c r="C8" s="43" t="s">
        <v>30</v>
      </c>
      <c r="D8" s="93"/>
      <c r="E8" s="39"/>
      <c r="F8" s="39"/>
      <c r="G8" s="43" t="s">
        <v>31</v>
      </c>
      <c r="H8" s="39"/>
      <c r="I8" s="43" t="s">
        <v>32</v>
      </c>
      <c r="J8" s="39"/>
      <c r="K8" s="39"/>
      <c r="L8" s="43" t="s">
        <v>33</v>
      </c>
      <c r="M8" s="39"/>
      <c r="N8" s="39"/>
      <c r="O8" s="40"/>
      <c r="P8" s="40"/>
      <c r="Q8" s="89"/>
      <c r="R8" s="36"/>
      <c r="S8" s="36"/>
      <c r="T8" s="89"/>
      <c r="U8" s="20"/>
    </row>
    <row r="9" ht="22.5" customHeight="1">
      <c r="B9" s="12">
        <v>1.0</v>
      </c>
      <c r="C9" s="30"/>
      <c r="D9" s="94"/>
      <c r="E9" s="79"/>
      <c r="F9" s="79"/>
      <c r="G9" s="85"/>
      <c r="H9" s="85"/>
      <c r="I9" s="85"/>
      <c r="J9" s="95"/>
      <c r="K9" s="85"/>
      <c r="L9" s="85"/>
      <c r="M9" s="46"/>
      <c r="N9" s="46"/>
      <c r="O9" s="34"/>
      <c r="P9" s="34"/>
      <c r="Q9" s="35">
        <v>45758.0</v>
      </c>
      <c r="R9" s="36"/>
      <c r="S9" s="36"/>
      <c r="T9" s="36"/>
      <c r="U9" s="20"/>
      <c r="V9" s="21"/>
      <c r="W9" s="21"/>
      <c r="X9" s="21"/>
      <c r="Y9" s="21"/>
      <c r="Z9" s="21"/>
      <c r="AA9" s="21"/>
      <c r="AB9" s="21"/>
      <c r="AC9" s="21"/>
    </row>
    <row r="10" ht="22.5" customHeight="1">
      <c r="B10" s="22"/>
      <c r="C10" s="37" t="s">
        <v>29</v>
      </c>
      <c r="D10" s="93"/>
      <c r="E10" s="43"/>
      <c r="F10" s="43"/>
      <c r="G10" s="43"/>
      <c r="H10" s="43"/>
      <c r="I10" s="43"/>
      <c r="J10" s="39"/>
      <c r="K10" s="43"/>
      <c r="L10" s="43"/>
      <c r="M10" s="39"/>
      <c r="N10" s="39"/>
      <c r="O10" s="40"/>
      <c r="P10" s="40"/>
      <c r="Q10" s="36"/>
      <c r="R10" s="36"/>
      <c r="S10" s="36"/>
      <c r="T10" s="41"/>
      <c r="U10" s="42">
        <f>T10*30000</f>
        <v>0</v>
      </c>
    </row>
    <row r="11" ht="30.75" customHeight="1">
      <c r="B11" s="28"/>
      <c r="C11" s="43" t="s">
        <v>30</v>
      </c>
      <c r="D11" s="93"/>
      <c r="E11" s="39"/>
      <c r="F11" s="39"/>
      <c r="G11" s="43"/>
      <c r="H11" s="39"/>
      <c r="I11" s="39"/>
      <c r="J11" s="43"/>
      <c r="K11" s="39"/>
      <c r="L11" s="39"/>
      <c r="M11" s="39"/>
      <c r="N11" s="39"/>
      <c r="O11" s="40"/>
      <c r="P11" s="40"/>
      <c r="Q11" s="36"/>
      <c r="R11" s="36"/>
      <c r="S11" s="36"/>
      <c r="T11" s="36"/>
      <c r="U11" s="20"/>
    </row>
    <row r="12" ht="22.5" customHeight="1">
      <c r="B12" s="12">
        <v>2.0</v>
      </c>
      <c r="C12" s="30" t="s">
        <v>108</v>
      </c>
      <c r="D12" s="94"/>
      <c r="E12" s="57">
        <v>45784.0</v>
      </c>
      <c r="F12" s="57">
        <v>45786.0</v>
      </c>
      <c r="G12" s="57">
        <v>45791.0</v>
      </c>
      <c r="H12" s="57">
        <v>45793.0</v>
      </c>
      <c r="I12" s="14">
        <v>45798.0</v>
      </c>
      <c r="J12" s="57">
        <v>45800.0</v>
      </c>
      <c r="K12" s="57">
        <v>45805.0</v>
      </c>
      <c r="L12" s="57">
        <v>45807.0</v>
      </c>
      <c r="M12" s="64"/>
      <c r="N12" s="64"/>
      <c r="O12" s="34"/>
      <c r="P12" s="34"/>
      <c r="Q12" s="36"/>
      <c r="R12" s="36"/>
      <c r="S12" s="36"/>
      <c r="T12" s="36"/>
      <c r="U12" s="42">
        <f>T12*20000</f>
        <v>0</v>
      </c>
      <c r="V12" s="21"/>
      <c r="W12" s="21"/>
      <c r="X12" s="21"/>
      <c r="Y12" s="21"/>
      <c r="Z12" s="21"/>
      <c r="AA12" s="21"/>
      <c r="AB12" s="21"/>
      <c r="AC12" s="21"/>
    </row>
    <row r="13" ht="22.5" customHeight="1">
      <c r="B13" s="22"/>
      <c r="C13" s="37" t="s">
        <v>29</v>
      </c>
      <c r="D13" s="93"/>
      <c r="E13" s="43">
        <v>1.0</v>
      </c>
      <c r="F13" s="43">
        <v>1.0</v>
      </c>
      <c r="G13" s="43">
        <v>1.0</v>
      </c>
      <c r="H13" s="43">
        <v>1.0</v>
      </c>
      <c r="I13" s="43">
        <v>1.0</v>
      </c>
      <c r="J13" s="43">
        <v>1.0</v>
      </c>
      <c r="K13" s="43">
        <v>1.0</v>
      </c>
      <c r="L13" s="43">
        <v>1.0</v>
      </c>
      <c r="M13" s="39"/>
      <c r="N13" s="39"/>
      <c r="O13" s="40"/>
      <c r="P13" s="40"/>
      <c r="Q13" s="36"/>
      <c r="R13" s="36"/>
      <c r="S13" s="36"/>
      <c r="T13" s="41">
        <v>8.0</v>
      </c>
      <c r="U13" s="42">
        <f>T13*30000</f>
        <v>240000</v>
      </c>
    </row>
    <row r="14" ht="29.25" customHeight="1">
      <c r="B14" s="28"/>
      <c r="C14" s="43" t="s">
        <v>30</v>
      </c>
      <c r="D14" s="93"/>
      <c r="E14" s="43"/>
      <c r="F14" s="39"/>
      <c r="G14" s="39"/>
      <c r="H14" s="43"/>
      <c r="I14" s="43"/>
      <c r="J14" s="39"/>
      <c r="K14" s="39"/>
      <c r="L14" s="39"/>
      <c r="M14" s="39"/>
      <c r="N14" s="39"/>
      <c r="O14" s="40"/>
      <c r="P14" s="40"/>
      <c r="Q14" s="36"/>
      <c r="R14" s="36"/>
      <c r="S14" s="36"/>
      <c r="T14" s="36"/>
      <c r="U14" s="42">
        <f>T14*20000</f>
        <v>0</v>
      </c>
    </row>
    <row r="15" ht="22.5" customHeight="1">
      <c r="B15" s="12">
        <v>3.0</v>
      </c>
      <c r="C15" s="30" t="s">
        <v>109</v>
      </c>
      <c r="D15" s="96"/>
      <c r="E15" s="62">
        <v>45784.0</v>
      </c>
      <c r="F15" s="57">
        <v>45786.0</v>
      </c>
      <c r="G15" s="57">
        <v>45791.0</v>
      </c>
      <c r="H15" s="57">
        <v>45793.0</v>
      </c>
      <c r="I15" s="14">
        <v>45798.0</v>
      </c>
      <c r="J15" s="57">
        <v>45800.0</v>
      </c>
      <c r="K15" s="57">
        <v>45805.0</v>
      </c>
      <c r="L15" s="57">
        <v>45807.0</v>
      </c>
      <c r="M15" s="46"/>
      <c r="N15" s="46"/>
      <c r="O15" s="34"/>
      <c r="P15" s="34"/>
      <c r="Q15" s="36"/>
      <c r="R15" s="36"/>
      <c r="S15" s="36"/>
      <c r="T15" s="36"/>
      <c r="U15" s="20"/>
      <c r="V15" s="21"/>
      <c r="W15" s="21"/>
      <c r="X15" s="21"/>
      <c r="Y15" s="21"/>
      <c r="Z15" s="21"/>
      <c r="AA15" s="21"/>
      <c r="AB15" s="21"/>
      <c r="AC15" s="21"/>
    </row>
    <row r="16" ht="22.5" customHeight="1">
      <c r="B16" s="22"/>
      <c r="C16" s="37" t="s">
        <v>29</v>
      </c>
      <c r="D16" s="97"/>
      <c r="E16" s="43">
        <v>1.0</v>
      </c>
      <c r="F16" s="43">
        <v>1.0</v>
      </c>
      <c r="G16" s="43">
        <v>1.0</v>
      </c>
      <c r="H16" s="43">
        <v>1.0</v>
      </c>
      <c r="I16" s="43">
        <v>1.0</v>
      </c>
      <c r="J16" s="43">
        <v>1.0</v>
      </c>
      <c r="K16" s="43">
        <v>1.0</v>
      </c>
      <c r="L16" s="43">
        <v>1.0</v>
      </c>
      <c r="M16" s="39"/>
      <c r="N16" s="39"/>
      <c r="O16" s="40"/>
      <c r="P16" s="40"/>
      <c r="Q16" s="49"/>
      <c r="R16" s="49"/>
      <c r="S16" s="49"/>
      <c r="T16" s="41">
        <v>8.0</v>
      </c>
      <c r="U16" s="42">
        <f>T16*30000</f>
        <v>240000</v>
      </c>
    </row>
    <row r="17" ht="22.5" customHeight="1">
      <c r="B17" s="28"/>
      <c r="C17" s="43" t="s">
        <v>30</v>
      </c>
      <c r="D17" s="97"/>
      <c r="E17" s="43"/>
      <c r="F17" s="43"/>
      <c r="G17" s="43"/>
      <c r="H17" s="43"/>
      <c r="I17" s="43"/>
      <c r="J17" s="43"/>
      <c r="K17" s="43"/>
      <c r="L17" s="43"/>
      <c r="M17" s="39"/>
      <c r="N17" s="39"/>
      <c r="O17" s="40"/>
      <c r="P17" s="40"/>
      <c r="Q17" s="49"/>
      <c r="R17" s="49"/>
      <c r="S17" s="49"/>
      <c r="T17" s="36"/>
      <c r="U17" s="42"/>
    </row>
    <row r="18" ht="22.5" customHeight="1">
      <c r="B18" s="12">
        <v>4.0</v>
      </c>
      <c r="C18" s="64"/>
      <c r="D18" s="98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34"/>
      <c r="P18" s="34"/>
      <c r="Q18" s="49"/>
      <c r="R18" s="49"/>
      <c r="S18" s="49"/>
      <c r="T18" s="36"/>
      <c r="U18" s="20"/>
      <c r="V18" s="21"/>
      <c r="W18" s="21"/>
      <c r="X18" s="21"/>
      <c r="Y18" s="21"/>
      <c r="Z18" s="21"/>
      <c r="AA18" s="21"/>
      <c r="AB18" s="21"/>
      <c r="AC18" s="21"/>
    </row>
    <row r="19" ht="22.5" customHeight="1">
      <c r="B19" s="28"/>
      <c r="C19" s="43" t="s">
        <v>30</v>
      </c>
      <c r="D19" s="93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40"/>
      <c r="Q19" s="49"/>
      <c r="R19" s="49"/>
      <c r="S19" s="49"/>
      <c r="T19" s="36"/>
      <c r="U19" s="42">
        <f t="shared" ref="U19:U27" si="1">T19*20000</f>
        <v>0</v>
      </c>
    </row>
    <row r="20" ht="22.5" customHeight="1">
      <c r="B20" s="12">
        <v>5.0</v>
      </c>
      <c r="C20" s="64"/>
      <c r="D20" s="98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34"/>
      <c r="P20" s="34"/>
      <c r="Q20" s="36"/>
      <c r="R20" s="36"/>
      <c r="S20" s="36"/>
      <c r="T20" s="36"/>
      <c r="U20" s="42">
        <f t="shared" si="1"/>
        <v>0</v>
      </c>
      <c r="V20" s="21"/>
      <c r="W20" s="21"/>
      <c r="X20" s="21"/>
      <c r="Y20" s="21"/>
      <c r="Z20" s="21"/>
      <c r="AA20" s="21"/>
      <c r="AB20" s="21"/>
      <c r="AC20" s="21"/>
    </row>
    <row r="21" ht="22.5" customHeight="1">
      <c r="B21" s="28"/>
      <c r="C21" s="43" t="s">
        <v>30</v>
      </c>
      <c r="D21" s="93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40"/>
      <c r="P21" s="40"/>
      <c r="Q21" s="36"/>
      <c r="R21" s="36"/>
      <c r="S21" s="36"/>
      <c r="T21" s="36"/>
      <c r="U21" s="42">
        <f t="shared" si="1"/>
        <v>0</v>
      </c>
    </row>
    <row r="22" ht="22.5" customHeight="1">
      <c r="B22" s="12">
        <v>6.0</v>
      </c>
      <c r="C22" s="64"/>
      <c r="D22" s="98"/>
      <c r="E22" s="30"/>
      <c r="F22" s="30"/>
      <c r="G22" s="30"/>
      <c r="H22" s="30"/>
      <c r="I22" s="30"/>
      <c r="J22" s="30"/>
      <c r="K22" s="30"/>
      <c r="L22" s="30"/>
      <c r="M22" s="64"/>
      <c r="N22" s="64"/>
      <c r="O22" s="34"/>
      <c r="P22" s="34"/>
      <c r="Q22" s="36"/>
      <c r="R22" s="36"/>
      <c r="S22" s="36"/>
      <c r="T22" s="41"/>
      <c r="U22" s="42">
        <f t="shared" si="1"/>
        <v>0</v>
      </c>
      <c r="V22" s="21"/>
      <c r="W22" s="21"/>
      <c r="X22" s="21"/>
      <c r="Y22" s="21"/>
      <c r="Z22" s="21"/>
      <c r="AA22" s="21"/>
      <c r="AB22" s="21"/>
      <c r="AC22" s="21"/>
    </row>
    <row r="23" ht="22.5" customHeight="1">
      <c r="B23" s="28"/>
      <c r="C23" s="43" t="s">
        <v>30</v>
      </c>
      <c r="D23" s="93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0"/>
      <c r="P23" s="40"/>
      <c r="Q23" s="36"/>
      <c r="R23" s="36"/>
      <c r="S23" s="36"/>
      <c r="T23" s="36"/>
      <c r="U23" s="42">
        <f t="shared" si="1"/>
        <v>0</v>
      </c>
    </row>
    <row r="24" ht="22.5" customHeight="1">
      <c r="B24" s="12">
        <v>7.0</v>
      </c>
      <c r="C24" s="64"/>
      <c r="D24" s="98"/>
      <c r="E24" s="30"/>
      <c r="F24" s="30"/>
      <c r="G24" s="30"/>
      <c r="H24" s="30"/>
      <c r="I24" s="30"/>
      <c r="J24" s="30"/>
      <c r="K24" s="30"/>
      <c r="L24" s="30"/>
      <c r="M24" s="64"/>
      <c r="N24" s="64"/>
      <c r="O24" s="34"/>
      <c r="P24" s="34"/>
      <c r="Q24" s="36"/>
      <c r="R24" s="36"/>
      <c r="S24" s="36"/>
      <c r="T24" s="41"/>
      <c r="U24" s="42">
        <f t="shared" si="1"/>
        <v>0</v>
      </c>
      <c r="V24" s="21"/>
      <c r="W24" s="21"/>
      <c r="X24" s="21"/>
      <c r="Y24" s="21"/>
      <c r="Z24" s="21"/>
      <c r="AA24" s="21"/>
      <c r="AB24" s="21"/>
      <c r="AC24" s="21"/>
    </row>
    <row r="25" ht="22.5" customHeight="1">
      <c r="B25" s="28"/>
      <c r="C25" s="43" t="s">
        <v>30</v>
      </c>
      <c r="D25" s="93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40"/>
      <c r="P25" s="40"/>
      <c r="Q25" s="36"/>
      <c r="R25" s="36"/>
      <c r="S25" s="36"/>
      <c r="T25" s="36"/>
      <c r="U25" s="42">
        <f t="shared" si="1"/>
        <v>0</v>
      </c>
    </row>
    <row r="26" ht="22.5" customHeight="1">
      <c r="B26" s="12">
        <v>8.0</v>
      </c>
      <c r="C26" s="64"/>
      <c r="D26" s="98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34"/>
      <c r="P26" s="34"/>
      <c r="Q26" s="36"/>
      <c r="R26" s="36"/>
      <c r="S26" s="36"/>
      <c r="T26" s="36"/>
      <c r="U26" s="42">
        <f t="shared" si="1"/>
        <v>0</v>
      </c>
      <c r="V26" s="21"/>
      <c r="W26" s="21"/>
      <c r="X26" s="21"/>
      <c r="Y26" s="21"/>
      <c r="Z26" s="21"/>
      <c r="AA26" s="21"/>
      <c r="AB26" s="21"/>
      <c r="AC26" s="21"/>
    </row>
    <row r="27" ht="22.5" customHeight="1">
      <c r="B27" s="28"/>
      <c r="C27" s="43" t="s">
        <v>30</v>
      </c>
      <c r="D27" s="93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40"/>
      <c r="P27" s="40"/>
      <c r="Q27" s="36"/>
      <c r="R27" s="36"/>
      <c r="S27" s="36"/>
      <c r="T27" s="36"/>
      <c r="U27" s="42">
        <f t="shared" si="1"/>
        <v>0</v>
      </c>
    </row>
    <row r="28">
      <c r="A28" s="1"/>
      <c r="B28" s="30" t="s">
        <v>46</v>
      </c>
      <c r="C28" s="6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68">
        <f>SUM(U6:U27)</f>
        <v>480000</v>
      </c>
    </row>
    <row r="29">
      <c r="A29" s="1"/>
      <c r="B29" s="30" t="s">
        <v>47</v>
      </c>
      <c r="C29" s="6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6"/>
      <c r="U29" s="68">
        <f>U28-(U28*0.033)</f>
        <v>464160</v>
      </c>
    </row>
    <row r="30"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69"/>
      <c r="R30" s="69"/>
      <c r="S30" s="69"/>
      <c r="T30" s="69"/>
      <c r="U30" s="40"/>
    </row>
  </sheetData>
  <mergeCells count="16">
    <mergeCell ref="B12:B14"/>
    <mergeCell ref="B15:B17"/>
    <mergeCell ref="B18:B19"/>
    <mergeCell ref="B20:B21"/>
    <mergeCell ref="B22:B23"/>
    <mergeCell ref="B24:B25"/>
    <mergeCell ref="B26:B27"/>
    <mergeCell ref="C28:T28"/>
    <mergeCell ref="C29:T29"/>
    <mergeCell ref="A1:A5"/>
    <mergeCell ref="B1:P1"/>
    <mergeCell ref="D2:F2"/>
    <mergeCell ref="D3:F3"/>
    <mergeCell ref="B4:P4"/>
    <mergeCell ref="A6:A27"/>
    <mergeCell ref="B9:B1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38"/>
    <col customWidth="1" min="2" max="2" width="9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B4" s="7"/>
    </row>
    <row r="5" ht="22.5" customHeight="1">
      <c r="B5" s="2"/>
      <c r="C5" s="2" t="s">
        <v>6</v>
      </c>
      <c r="D5" s="90" t="s">
        <v>107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9" t="s">
        <v>23</v>
      </c>
      <c r="R5" s="9" t="s">
        <v>24</v>
      </c>
      <c r="S5" s="9" t="s">
        <v>25</v>
      </c>
      <c r="T5" s="10" t="s">
        <v>26</v>
      </c>
      <c r="U5" s="11" t="s">
        <v>27</v>
      </c>
    </row>
    <row r="6" ht="22.5" customHeight="1">
      <c r="A6" s="1"/>
      <c r="B6" s="2">
        <v>0.0</v>
      </c>
      <c r="C6" s="30" t="s">
        <v>28</v>
      </c>
      <c r="D6" s="91">
        <v>45657.0</v>
      </c>
      <c r="E6" s="87">
        <v>45628.0</v>
      </c>
      <c r="F6" s="87">
        <v>45631.0</v>
      </c>
      <c r="G6" s="86">
        <v>45634.0</v>
      </c>
      <c r="H6" s="87">
        <v>45641.0</v>
      </c>
      <c r="I6" s="87">
        <v>45644.0</v>
      </c>
      <c r="J6" s="87">
        <v>45646.0</v>
      </c>
      <c r="K6" s="87">
        <v>45647.0</v>
      </c>
      <c r="L6" s="86">
        <v>45649.0</v>
      </c>
      <c r="M6" s="64"/>
      <c r="N6" s="64"/>
      <c r="O6" s="34"/>
      <c r="P6" s="34"/>
      <c r="Q6" s="88">
        <v>46003.0</v>
      </c>
      <c r="R6" s="36"/>
      <c r="S6" s="36"/>
      <c r="T6" s="36"/>
      <c r="U6" s="20"/>
      <c r="V6" s="21"/>
      <c r="W6" s="21"/>
      <c r="X6" s="21"/>
      <c r="Y6" s="21"/>
      <c r="Z6" s="21"/>
      <c r="AA6" s="21"/>
      <c r="AB6" s="21"/>
      <c r="AC6" s="21"/>
    </row>
    <row r="7" ht="33.75" customHeight="1">
      <c r="B7" s="2"/>
      <c r="C7" s="37" t="s">
        <v>29</v>
      </c>
      <c r="D7" s="92"/>
      <c r="E7" s="89">
        <v>2.0</v>
      </c>
      <c r="F7" s="89">
        <v>1.5</v>
      </c>
      <c r="G7" s="37">
        <v>0.0</v>
      </c>
      <c r="H7" s="89">
        <v>1.5</v>
      </c>
      <c r="I7" s="37">
        <v>2.0</v>
      </c>
      <c r="J7" s="89">
        <v>1.0</v>
      </c>
      <c r="K7" s="89">
        <v>2.0</v>
      </c>
      <c r="L7" s="37">
        <v>0.0</v>
      </c>
      <c r="M7" s="39"/>
      <c r="N7" s="39"/>
      <c r="O7" s="40"/>
      <c r="P7" s="40"/>
      <c r="Q7" s="89">
        <v>2.0</v>
      </c>
      <c r="R7" s="36"/>
      <c r="S7" s="36"/>
      <c r="T7" s="89">
        <f>SUM(D7:S7)</f>
        <v>12</v>
      </c>
      <c r="U7" s="27">
        <v>0.0</v>
      </c>
    </row>
    <row r="8" ht="33.75" customHeight="1">
      <c r="B8" s="2"/>
      <c r="C8" s="43" t="s">
        <v>30</v>
      </c>
      <c r="D8" s="93"/>
      <c r="E8" s="39"/>
      <c r="F8" s="39"/>
      <c r="G8" s="43" t="s">
        <v>31</v>
      </c>
      <c r="H8" s="39"/>
      <c r="I8" s="43" t="s">
        <v>32</v>
      </c>
      <c r="J8" s="39"/>
      <c r="K8" s="39"/>
      <c r="L8" s="43" t="s">
        <v>33</v>
      </c>
      <c r="M8" s="39"/>
      <c r="N8" s="39"/>
      <c r="O8" s="40"/>
      <c r="P8" s="40"/>
      <c r="Q8" s="89"/>
      <c r="R8" s="36"/>
      <c r="S8" s="36"/>
      <c r="T8" s="89"/>
      <c r="U8" s="20"/>
    </row>
    <row r="9" ht="22.5" customHeight="1">
      <c r="B9" s="12">
        <v>1.0</v>
      </c>
      <c r="C9" s="30" t="s">
        <v>110</v>
      </c>
      <c r="D9" s="94"/>
      <c r="E9" s="79">
        <v>45749.0</v>
      </c>
      <c r="F9" s="79">
        <v>45751.0</v>
      </c>
      <c r="G9" s="85">
        <v>45754.0</v>
      </c>
      <c r="H9" s="85">
        <v>45756.0</v>
      </c>
      <c r="I9" s="85">
        <v>45758.0</v>
      </c>
      <c r="J9" s="95">
        <v>45763.0</v>
      </c>
      <c r="K9" s="85">
        <v>45765.0</v>
      </c>
      <c r="L9" s="85">
        <v>45766.0</v>
      </c>
      <c r="M9" s="46"/>
      <c r="N9" s="46"/>
      <c r="O9" s="34"/>
      <c r="P9" s="34"/>
      <c r="Q9" s="35"/>
      <c r="R9" s="36"/>
      <c r="S9" s="36"/>
      <c r="T9" s="36"/>
      <c r="U9" s="20"/>
      <c r="V9" s="21"/>
      <c r="W9" s="21"/>
      <c r="X9" s="21"/>
      <c r="Y9" s="21"/>
      <c r="Z9" s="21"/>
      <c r="AA9" s="21"/>
      <c r="AB9" s="21"/>
      <c r="AC9" s="21"/>
    </row>
    <row r="10" ht="22.5" customHeight="1">
      <c r="B10" s="22"/>
      <c r="C10" s="37" t="s">
        <v>29</v>
      </c>
      <c r="D10" s="93"/>
      <c r="E10" s="43">
        <v>1.5</v>
      </c>
      <c r="F10" s="43">
        <v>1.5</v>
      </c>
      <c r="G10" s="43">
        <v>1.5</v>
      </c>
      <c r="H10" s="43">
        <v>1.5</v>
      </c>
      <c r="I10" s="43">
        <v>1.5</v>
      </c>
      <c r="J10" s="43">
        <v>0.0</v>
      </c>
      <c r="K10" s="43">
        <v>1.5</v>
      </c>
      <c r="L10" s="43">
        <v>1.5</v>
      </c>
      <c r="M10" s="39"/>
      <c r="N10" s="39"/>
      <c r="O10" s="40"/>
      <c r="P10" s="40"/>
      <c r="Q10" s="36"/>
      <c r="R10" s="36"/>
      <c r="S10" s="36"/>
      <c r="T10" s="41">
        <v>10.5</v>
      </c>
      <c r="U10" s="42">
        <f>T10*30000</f>
        <v>315000</v>
      </c>
    </row>
    <row r="11" ht="30.75" customHeight="1">
      <c r="B11" s="28"/>
      <c r="C11" s="43" t="s">
        <v>30</v>
      </c>
      <c r="D11" s="93"/>
      <c r="E11" s="39"/>
      <c r="F11" s="39"/>
      <c r="G11" s="43"/>
      <c r="H11" s="39"/>
      <c r="I11" s="39"/>
      <c r="J11" s="43" t="s">
        <v>111</v>
      </c>
      <c r="K11" s="39"/>
      <c r="L11" s="39"/>
      <c r="M11" s="39"/>
      <c r="N11" s="39"/>
      <c r="O11" s="40"/>
      <c r="P11" s="40"/>
      <c r="Q11" s="36"/>
      <c r="R11" s="36"/>
      <c r="S11" s="36"/>
      <c r="T11" s="36"/>
      <c r="U11" s="20"/>
    </row>
    <row r="12" ht="22.5" customHeight="1">
      <c r="B12" s="12">
        <v>2.0</v>
      </c>
      <c r="C12" s="30" t="s">
        <v>112</v>
      </c>
      <c r="D12" s="94"/>
      <c r="E12" s="57">
        <v>45754.0</v>
      </c>
      <c r="F12" s="14"/>
      <c r="G12" s="14"/>
      <c r="H12" s="14"/>
      <c r="I12" s="86"/>
      <c r="J12" s="85"/>
      <c r="K12" s="85"/>
      <c r="L12" s="85"/>
      <c r="M12" s="64"/>
      <c r="N12" s="64"/>
      <c r="O12" s="34"/>
      <c r="P12" s="34"/>
      <c r="Q12" s="36"/>
      <c r="R12" s="36"/>
      <c r="S12" s="36"/>
      <c r="T12" s="36"/>
      <c r="U12" s="42">
        <f>T12*20000</f>
        <v>0</v>
      </c>
      <c r="V12" s="21"/>
      <c r="W12" s="21"/>
      <c r="X12" s="21"/>
      <c r="Y12" s="21"/>
      <c r="Z12" s="21"/>
      <c r="AA12" s="21"/>
      <c r="AB12" s="21"/>
      <c r="AC12" s="21"/>
    </row>
    <row r="13" ht="22.5" customHeight="1">
      <c r="B13" s="22"/>
      <c r="C13" s="37" t="s">
        <v>29</v>
      </c>
      <c r="D13" s="93"/>
      <c r="E13" s="43">
        <v>1.5</v>
      </c>
      <c r="F13" s="43"/>
      <c r="G13" s="43"/>
      <c r="H13" s="43"/>
      <c r="I13" s="39"/>
      <c r="J13" s="43"/>
      <c r="K13" s="43"/>
      <c r="L13" s="43"/>
      <c r="M13" s="39"/>
      <c r="N13" s="39"/>
      <c r="O13" s="40"/>
      <c r="P13" s="40"/>
      <c r="Q13" s="36"/>
      <c r="R13" s="36"/>
      <c r="S13" s="36"/>
      <c r="T13" s="41">
        <v>1.5</v>
      </c>
      <c r="U13" s="42">
        <f>T13*30000</f>
        <v>45000</v>
      </c>
    </row>
    <row r="14" ht="29.25" customHeight="1">
      <c r="B14" s="28"/>
      <c r="C14" s="43" t="s">
        <v>30</v>
      </c>
      <c r="D14" s="93"/>
      <c r="E14" s="43" t="s">
        <v>113</v>
      </c>
      <c r="F14" s="39"/>
      <c r="G14" s="39"/>
      <c r="H14" s="43"/>
      <c r="I14" s="43"/>
      <c r="J14" s="39"/>
      <c r="K14" s="39"/>
      <c r="L14" s="39"/>
      <c r="M14" s="39"/>
      <c r="N14" s="39"/>
      <c r="O14" s="40"/>
      <c r="P14" s="40"/>
      <c r="Q14" s="36"/>
      <c r="R14" s="36"/>
      <c r="S14" s="36"/>
      <c r="T14" s="36"/>
      <c r="U14" s="42">
        <f>T14*20000</f>
        <v>0</v>
      </c>
    </row>
    <row r="15" ht="22.5" customHeight="1">
      <c r="B15" s="12">
        <v>3.0</v>
      </c>
      <c r="C15" s="30" t="s">
        <v>114</v>
      </c>
      <c r="D15" s="96"/>
      <c r="E15" s="62">
        <v>45757.0</v>
      </c>
      <c r="F15" s="62">
        <v>45764.0</v>
      </c>
      <c r="G15" s="62">
        <v>45769.0</v>
      </c>
      <c r="H15" s="95"/>
      <c r="I15" s="87"/>
      <c r="J15" s="46"/>
      <c r="K15" s="46"/>
      <c r="L15" s="46"/>
      <c r="M15" s="46"/>
      <c r="N15" s="46"/>
      <c r="O15" s="34"/>
      <c r="P15" s="34"/>
      <c r="Q15" s="36"/>
      <c r="R15" s="36"/>
      <c r="S15" s="36"/>
      <c r="T15" s="36"/>
      <c r="U15" s="20"/>
      <c r="V15" s="21"/>
      <c r="W15" s="21"/>
      <c r="X15" s="21"/>
      <c r="Y15" s="21"/>
      <c r="Z15" s="21"/>
      <c r="AA15" s="21"/>
      <c r="AB15" s="21"/>
      <c r="AC15" s="21"/>
    </row>
    <row r="16" ht="22.5" customHeight="1">
      <c r="B16" s="28"/>
      <c r="C16" s="43" t="s">
        <v>30</v>
      </c>
      <c r="D16" s="97"/>
      <c r="E16" s="43">
        <v>1.5</v>
      </c>
      <c r="F16" s="43">
        <v>1.5</v>
      </c>
      <c r="G16" s="43">
        <v>1.5</v>
      </c>
      <c r="H16" s="39"/>
      <c r="I16" s="39"/>
      <c r="J16" s="39"/>
      <c r="K16" s="39"/>
      <c r="L16" s="39"/>
      <c r="M16" s="39"/>
      <c r="N16" s="39"/>
      <c r="O16" s="40"/>
      <c r="P16" s="40"/>
      <c r="Q16" s="49"/>
      <c r="R16" s="49"/>
      <c r="S16" s="49"/>
      <c r="T16" s="41">
        <v>4.5</v>
      </c>
      <c r="U16" s="42">
        <f>T16*30000</f>
        <v>135000</v>
      </c>
    </row>
    <row r="17" ht="22.5" customHeight="1">
      <c r="B17" s="12">
        <v>4.0</v>
      </c>
      <c r="C17" s="64"/>
      <c r="D17" s="98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34"/>
      <c r="P17" s="34"/>
      <c r="Q17" s="49"/>
      <c r="R17" s="49"/>
      <c r="S17" s="49"/>
      <c r="T17" s="36"/>
      <c r="U17" s="20"/>
      <c r="V17" s="21"/>
      <c r="W17" s="21"/>
      <c r="X17" s="21"/>
      <c r="Y17" s="21"/>
      <c r="Z17" s="21"/>
      <c r="AA17" s="21"/>
      <c r="AB17" s="21"/>
      <c r="AC17" s="21"/>
    </row>
    <row r="18" ht="22.5" customHeight="1">
      <c r="B18" s="28"/>
      <c r="C18" s="43" t="s">
        <v>30</v>
      </c>
      <c r="D18" s="93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P18" s="40"/>
      <c r="Q18" s="49"/>
      <c r="R18" s="49"/>
      <c r="S18" s="49"/>
      <c r="T18" s="36"/>
      <c r="U18" s="42">
        <f t="shared" ref="U18:U26" si="1">T18*20000</f>
        <v>0</v>
      </c>
    </row>
    <row r="19" ht="22.5" customHeight="1">
      <c r="B19" s="12">
        <v>5.0</v>
      </c>
      <c r="C19" s="64"/>
      <c r="D19" s="98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34"/>
      <c r="P19" s="34"/>
      <c r="Q19" s="36"/>
      <c r="R19" s="36"/>
      <c r="S19" s="36"/>
      <c r="T19" s="36"/>
      <c r="U19" s="42">
        <f t="shared" si="1"/>
        <v>0</v>
      </c>
      <c r="V19" s="21"/>
      <c r="W19" s="21"/>
      <c r="X19" s="21"/>
      <c r="Y19" s="21"/>
      <c r="Z19" s="21"/>
      <c r="AA19" s="21"/>
      <c r="AB19" s="21"/>
      <c r="AC19" s="21"/>
    </row>
    <row r="20" ht="22.5" customHeight="1">
      <c r="B20" s="28"/>
      <c r="C20" s="43" t="s">
        <v>30</v>
      </c>
      <c r="D20" s="93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40"/>
      <c r="P20" s="40"/>
      <c r="Q20" s="36"/>
      <c r="R20" s="36"/>
      <c r="S20" s="36"/>
      <c r="T20" s="36"/>
      <c r="U20" s="42">
        <f t="shared" si="1"/>
        <v>0</v>
      </c>
    </row>
    <row r="21" ht="22.5" customHeight="1">
      <c r="B21" s="12">
        <v>6.0</v>
      </c>
      <c r="C21" s="64"/>
      <c r="D21" s="98"/>
      <c r="E21" s="30"/>
      <c r="F21" s="30"/>
      <c r="G21" s="30"/>
      <c r="H21" s="30"/>
      <c r="I21" s="30"/>
      <c r="J21" s="30"/>
      <c r="K21" s="30"/>
      <c r="L21" s="30"/>
      <c r="M21" s="64"/>
      <c r="N21" s="64"/>
      <c r="O21" s="34"/>
      <c r="P21" s="34"/>
      <c r="Q21" s="36"/>
      <c r="R21" s="36"/>
      <c r="S21" s="36"/>
      <c r="T21" s="41"/>
      <c r="U21" s="42">
        <f t="shared" si="1"/>
        <v>0</v>
      </c>
      <c r="V21" s="21"/>
      <c r="W21" s="21"/>
      <c r="X21" s="21"/>
      <c r="Y21" s="21"/>
      <c r="Z21" s="21"/>
      <c r="AA21" s="21"/>
      <c r="AB21" s="21"/>
      <c r="AC21" s="21"/>
    </row>
    <row r="22" ht="22.5" customHeight="1">
      <c r="B22" s="28"/>
      <c r="C22" s="43" t="s">
        <v>30</v>
      </c>
      <c r="D22" s="93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40"/>
      <c r="P22" s="40"/>
      <c r="Q22" s="36"/>
      <c r="R22" s="36"/>
      <c r="S22" s="36"/>
      <c r="T22" s="36"/>
      <c r="U22" s="42">
        <f t="shared" si="1"/>
        <v>0</v>
      </c>
    </row>
    <row r="23" ht="22.5" customHeight="1">
      <c r="B23" s="12">
        <v>7.0</v>
      </c>
      <c r="C23" s="64"/>
      <c r="D23" s="98"/>
      <c r="E23" s="30"/>
      <c r="F23" s="30"/>
      <c r="G23" s="30"/>
      <c r="H23" s="30"/>
      <c r="I23" s="30"/>
      <c r="J23" s="30"/>
      <c r="K23" s="30"/>
      <c r="L23" s="30"/>
      <c r="M23" s="64"/>
      <c r="N23" s="64"/>
      <c r="O23" s="34"/>
      <c r="P23" s="34"/>
      <c r="Q23" s="36"/>
      <c r="R23" s="36"/>
      <c r="S23" s="36"/>
      <c r="T23" s="41"/>
      <c r="U23" s="42">
        <f t="shared" si="1"/>
        <v>0</v>
      </c>
      <c r="V23" s="21"/>
      <c r="W23" s="21"/>
      <c r="X23" s="21"/>
      <c r="Y23" s="21"/>
      <c r="Z23" s="21"/>
      <c r="AA23" s="21"/>
      <c r="AB23" s="21"/>
      <c r="AC23" s="21"/>
    </row>
    <row r="24" ht="22.5" customHeight="1">
      <c r="B24" s="28"/>
      <c r="C24" s="43" t="s">
        <v>30</v>
      </c>
      <c r="D24" s="93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0"/>
      <c r="P24" s="40"/>
      <c r="Q24" s="36"/>
      <c r="R24" s="36"/>
      <c r="S24" s="36"/>
      <c r="T24" s="36"/>
      <c r="U24" s="42">
        <f t="shared" si="1"/>
        <v>0</v>
      </c>
    </row>
    <row r="25" ht="22.5" customHeight="1">
      <c r="B25" s="12">
        <v>8.0</v>
      </c>
      <c r="C25" s="64"/>
      <c r="D25" s="98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34"/>
      <c r="P25" s="34"/>
      <c r="Q25" s="36"/>
      <c r="R25" s="36"/>
      <c r="S25" s="36"/>
      <c r="T25" s="36"/>
      <c r="U25" s="42">
        <f t="shared" si="1"/>
        <v>0</v>
      </c>
      <c r="V25" s="21"/>
      <c r="W25" s="21"/>
      <c r="X25" s="21"/>
      <c r="Y25" s="21"/>
      <c r="Z25" s="21"/>
      <c r="AA25" s="21"/>
      <c r="AB25" s="21"/>
      <c r="AC25" s="21"/>
    </row>
    <row r="26" ht="22.5" customHeight="1">
      <c r="B26" s="28"/>
      <c r="C26" s="43" t="s">
        <v>30</v>
      </c>
      <c r="D26" s="93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0"/>
      <c r="P26" s="40"/>
      <c r="Q26" s="36"/>
      <c r="R26" s="36"/>
      <c r="S26" s="36"/>
      <c r="T26" s="36"/>
      <c r="U26" s="42">
        <f t="shared" si="1"/>
        <v>0</v>
      </c>
    </row>
    <row r="27">
      <c r="A27" s="1"/>
      <c r="B27" s="30" t="s">
        <v>46</v>
      </c>
      <c r="C27" s="6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  <c r="U27" s="68">
        <f>SUM(U6:U26)</f>
        <v>495000</v>
      </c>
    </row>
    <row r="28">
      <c r="A28" s="1"/>
      <c r="B28" s="30" t="s">
        <v>47</v>
      </c>
      <c r="C28" s="6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68">
        <f>U27-(U27*0.033)</f>
        <v>478665</v>
      </c>
    </row>
    <row r="29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69"/>
      <c r="R29" s="69"/>
      <c r="S29" s="69"/>
      <c r="T29" s="69"/>
      <c r="U29" s="40"/>
    </row>
  </sheetData>
  <mergeCells count="16">
    <mergeCell ref="B12:B14"/>
    <mergeCell ref="B15:B16"/>
    <mergeCell ref="B17:B18"/>
    <mergeCell ref="B19:B20"/>
    <mergeCell ref="B21:B22"/>
    <mergeCell ref="B23:B24"/>
    <mergeCell ref="B25:B26"/>
    <mergeCell ref="C27:T27"/>
    <mergeCell ref="C28:T28"/>
    <mergeCell ref="A1:A5"/>
    <mergeCell ref="B1:P1"/>
    <mergeCell ref="D2:F2"/>
    <mergeCell ref="D3:F3"/>
    <mergeCell ref="B4:P4"/>
    <mergeCell ref="A6:A26"/>
    <mergeCell ref="B9:B1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38"/>
    <col customWidth="1" min="2" max="2" width="9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B4" s="7"/>
    </row>
    <row r="5" ht="22.5" customHeight="1">
      <c r="B5" s="2"/>
      <c r="C5" s="2" t="s">
        <v>6</v>
      </c>
      <c r="D5" s="90" t="s">
        <v>107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9" t="s">
        <v>23</v>
      </c>
      <c r="R5" s="9" t="s">
        <v>24</v>
      </c>
      <c r="S5" s="9" t="s">
        <v>25</v>
      </c>
      <c r="T5" s="10" t="s">
        <v>26</v>
      </c>
      <c r="U5" s="11" t="s">
        <v>27</v>
      </c>
    </row>
    <row r="6" ht="22.5" customHeight="1">
      <c r="A6" s="1"/>
      <c r="B6" s="2">
        <v>0.0</v>
      </c>
      <c r="C6" s="30" t="s">
        <v>28</v>
      </c>
      <c r="D6" s="91">
        <v>45657.0</v>
      </c>
      <c r="E6" s="87">
        <v>45628.0</v>
      </c>
      <c r="F6" s="87">
        <v>45631.0</v>
      </c>
      <c r="G6" s="86">
        <v>45634.0</v>
      </c>
      <c r="H6" s="87">
        <v>45641.0</v>
      </c>
      <c r="I6" s="87">
        <v>45644.0</v>
      </c>
      <c r="J6" s="87">
        <v>45646.0</v>
      </c>
      <c r="K6" s="87">
        <v>45647.0</v>
      </c>
      <c r="L6" s="86">
        <v>45649.0</v>
      </c>
      <c r="M6" s="64"/>
      <c r="N6" s="64"/>
      <c r="O6" s="34"/>
      <c r="P6" s="34"/>
      <c r="Q6" s="88">
        <v>46003.0</v>
      </c>
      <c r="R6" s="36"/>
      <c r="S6" s="36"/>
      <c r="T6" s="36"/>
      <c r="U6" s="20"/>
      <c r="V6" s="21"/>
      <c r="W6" s="21"/>
      <c r="X6" s="21"/>
      <c r="Y6" s="21"/>
      <c r="Z6" s="21"/>
      <c r="AA6" s="21"/>
      <c r="AB6" s="21"/>
      <c r="AC6" s="21"/>
    </row>
    <row r="7" ht="33.75" customHeight="1">
      <c r="B7" s="2"/>
      <c r="C7" s="37" t="s">
        <v>29</v>
      </c>
      <c r="D7" s="92"/>
      <c r="E7" s="89">
        <v>2.0</v>
      </c>
      <c r="F7" s="89">
        <v>1.5</v>
      </c>
      <c r="G7" s="37">
        <v>0.0</v>
      </c>
      <c r="H7" s="89">
        <v>1.5</v>
      </c>
      <c r="I7" s="37">
        <v>2.0</v>
      </c>
      <c r="J7" s="89">
        <v>1.0</v>
      </c>
      <c r="K7" s="89">
        <v>2.0</v>
      </c>
      <c r="L7" s="37">
        <v>0.0</v>
      </c>
      <c r="M7" s="39"/>
      <c r="N7" s="39"/>
      <c r="O7" s="40"/>
      <c r="P7" s="40"/>
      <c r="Q7" s="89">
        <v>2.0</v>
      </c>
      <c r="R7" s="36"/>
      <c r="S7" s="36"/>
      <c r="T7" s="89">
        <f>SUM(D7:S7)</f>
        <v>12</v>
      </c>
      <c r="U7" s="27">
        <v>0.0</v>
      </c>
    </row>
    <row r="8" ht="33.75" customHeight="1">
      <c r="B8" s="2"/>
      <c r="C8" s="43" t="s">
        <v>30</v>
      </c>
      <c r="D8" s="93"/>
      <c r="E8" s="39"/>
      <c r="F8" s="39"/>
      <c r="G8" s="43" t="s">
        <v>31</v>
      </c>
      <c r="H8" s="39"/>
      <c r="I8" s="43" t="s">
        <v>32</v>
      </c>
      <c r="J8" s="39"/>
      <c r="K8" s="39"/>
      <c r="L8" s="43" t="s">
        <v>33</v>
      </c>
      <c r="M8" s="39"/>
      <c r="N8" s="39"/>
      <c r="O8" s="40"/>
      <c r="P8" s="40"/>
      <c r="Q8" s="89"/>
      <c r="R8" s="36"/>
      <c r="S8" s="36"/>
      <c r="T8" s="89"/>
      <c r="U8" s="20"/>
    </row>
    <row r="9" ht="22.5" customHeight="1">
      <c r="B9" s="12">
        <v>1.0</v>
      </c>
      <c r="C9" s="30" t="s">
        <v>110</v>
      </c>
      <c r="D9" s="94"/>
      <c r="E9" s="85">
        <v>45723.0</v>
      </c>
      <c r="F9" s="85">
        <v>45730.0</v>
      </c>
      <c r="G9" s="86">
        <v>45737.0</v>
      </c>
      <c r="H9" s="85">
        <v>45744.0</v>
      </c>
      <c r="I9" s="95"/>
      <c r="J9" s="95"/>
      <c r="K9" s="46"/>
      <c r="L9" s="46"/>
      <c r="M9" s="46"/>
      <c r="N9" s="46"/>
      <c r="O9" s="34"/>
      <c r="P9" s="34"/>
      <c r="Q9" s="35"/>
      <c r="R9" s="36"/>
      <c r="S9" s="36"/>
      <c r="T9" s="36"/>
      <c r="U9" s="20"/>
      <c r="V9" s="21"/>
      <c r="W9" s="21"/>
      <c r="X9" s="21"/>
      <c r="Y9" s="21"/>
      <c r="Z9" s="21"/>
      <c r="AA9" s="21"/>
      <c r="AB9" s="21"/>
      <c r="AC9" s="21"/>
    </row>
    <row r="10" ht="22.5" customHeight="1">
      <c r="B10" s="22"/>
      <c r="C10" s="37" t="s">
        <v>29</v>
      </c>
      <c r="D10" s="93"/>
      <c r="E10" s="43">
        <v>1.5</v>
      </c>
      <c r="F10" s="43">
        <v>1.5</v>
      </c>
      <c r="G10" s="39"/>
      <c r="H10" s="43">
        <v>1.5</v>
      </c>
      <c r="I10" s="39"/>
      <c r="J10" s="39"/>
      <c r="K10" s="39"/>
      <c r="L10" s="39"/>
      <c r="M10" s="39"/>
      <c r="N10" s="39"/>
      <c r="O10" s="40"/>
      <c r="P10" s="40"/>
      <c r="Q10" s="36"/>
      <c r="R10" s="36"/>
      <c r="S10" s="36"/>
      <c r="T10" s="41">
        <v>4.5</v>
      </c>
      <c r="U10" s="42">
        <f>T10*30000</f>
        <v>135000</v>
      </c>
    </row>
    <row r="11" ht="30.75" customHeight="1">
      <c r="B11" s="28"/>
      <c r="C11" s="43" t="s">
        <v>30</v>
      </c>
      <c r="D11" s="93"/>
      <c r="E11" s="39"/>
      <c r="F11" s="39"/>
      <c r="G11" s="43" t="s">
        <v>115</v>
      </c>
      <c r="H11" s="39"/>
      <c r="I11" s="39"/>
      <c r="J11" s="39"/>
      <c r="K11" s="39"/>
      <c r="L11" s="39"/>
      <c r="M11" s="39"/>
      <c r="N11" s="39"/>
      <c r="O11" s="40"/>
      <c r="P11" s="40"/>
      <c r="Q11" s="36"/>
      <c r="R11" s="36"/>
      <c r="S11" s="36"/>
      <c r="T11" s="36"/>
      <c r="U11" s="20"/>
    </row>
    <row r="12" ht="22.5" customHeight="1">
      <c r="B12" s="12">
        <v>2.0</v>
      </c>
      <c r="C12" s="30" t="s">
        <v>112</v>
      </c>
      <c r="D12" s="94"/>
      <c r="E12" s="14">
        <v>45723.0</v>
      </c>
      <c r="F12" s="14">
        <v>45726.0</v>
      </c>
      <c r="G12" s="14">
        <v>45730.0</v>
      </c>
      <c r="H12" s="14">
        <v>45733.0</v>
      </c>
      <c r="I12" s="86">
        <v>45737.0</v>
      </c>
      <c r="J12" s="85">
        <v>45740.0</v>
      </c>
      <c r="K12" s="85">
        <v>45744.0</v>
      </c>
      <c r="L12" s="85">
        <v>45747.0</v>
      </c>
      <c r="M12" s="64"/>
      <c r="N12" s="64"/>
      <c r="O12" s="34"/>
      <c r="P12" s="34"/>
      <c r="Q12" s="36"/>
      <c r="R12" s="36"/>
      <c r="S12" s="36"/>
      <c r="T12" s="36"/>
      <c r="U12" s="42">
        <f>T12*20000</f>
        <v>0</v>
      </c>
      <c r="V12" s="21"/>
      <c r="W12" s="21"/>
      <c r="X12" s="21"/>
      <c r="Y12" s="21"/>
      <c r="Z12" s="21"/>
      <c r="AA12" s="21"/>
      <c r="AB12" s="21"/>
      <c r="AC12" s="21"/>
    </row>
    <row r="13" ht="22.5" customHeight="1">
      <c r="B13" s="22"/>
      <c r="C13" s="37" t="s">
        <v>29</v>
      </c>
      <c r="D13" s="93"/>
      <c r="E13" s="43">
        <v>1.5</v>
      </c>
      <c r="F13" s="43">
        <v>1.5</v>
      </c>
      <c r="G13" s="43">
        <v>1.5</v>
      </c>
      <c r="H13" s="43">
        <v>1.5</v>
      </c>
      <c r="I13" s="39"/>
      <c r="J13" s="43">
        <v>1.5</v>
      </c>
      <c r="K13" s="43">
        <v>1.5</v>
      </c>
      <c r="L13" s="43">
        <v>1.5</v>
      </c>
      <c r="M13" s="39"/>
      <c r="N13" s="39"/>
      <c r="O13" s="40"/>
      <c r="P13" s="40"/>
      <c r="Q13" s="36"/>
      <c r="R13" s="36"/>
      <c r="S13" s="36"/>
      <c r="T13" s="41">
        <v>10.5</v>
      </c>
      <c r="U13" s="42">
        <f>T13*30000</f>
        <v>315000</v>
      </c>
    </row>
    <row r="14" ht="29.25" customHeight="1">
      <c r="B14" s="28"/>
      <c r="C14" s="43" t="s">
        <v>30</v>
      </c>
      <c r="D14" s="93"/>
      <c r="E14" s="39"/>
      <c r="F14" s="39"/>
      <c r="G14" s="39"/>
      <c r="H14" s="43"/>
      <c r="I14" s="43" t="s">
        <v>116</v>
      </c>
      <c r="J14" s="39"/>
      <c r="K14" s="39"/>
      <c r="L14" s="39"/>
      <c r="M14" s="39"/>
      <c r="N14" s="39"/>
      <c r="O14" s="40"/>
      <c r="P14" s="40"/>
      <c r="Q14" s="36"/>
      <c r="R14" s="36"/>
      <c r="S14" s="36"/>
      <c r="T14" s="36"/>
      <c r="U14" s="42">
        <f>T14*20000</f>
        <v>0</v>
      </c>
    </row>
    <row r="15" ht="22.5" customHeight="1">
      <c r="B15" s="12">
        <v>3.0</v>
      </c>
      <c r="C15" s="30"/>
      <c r="D15" s="96"/>
      <c r="E15" s="99"/>
      <c r="F15" s="99"/>
      <c r="G15" s="99"/>
      <c r="H15" s="95"/>
      <c r="I15" s="87"/>
      <c r="J15" s="46"/>
      <c r="K15" s="46"/>
      <c r="L15" s="46"/>
      <c r="M15" s="46"/>
      <c r="N15" s="46"/>
      <c r="O15" s="34"/>
      <c r="P15" s="34"/>
      <c r="Q15" s="36"/>
      <c r="R15" s="36"/>
      <c r="S15" s="36"/>
      <c r="T15" s="36"/>
      <c r="U15" s="20"/>
      <c r="V15" s="21"/>
      <c r="W15" s="21"/>
      <c r="X15" s="21"/>
      <c r="Y15" s="21"/>
      <c r="Z15" s="21"/>
      <c r="AA15" s="21"/>
      <c r="AB15" s="21"/>
      <c r="AC15" s="21"/>
    </row>
    <row r="16" ht="22.5" customHeight="1">
      <c r="B16" s="28"/>
      <c r="C16" s="43" t="s">
        <v>30</v>
      </c>
      <c r="D16" s="97"/>
      <c r="E16" s="43"/>
      <c r="F16" s="39"/>
      <c r="G16" s="43"/>
      <c r="H16" s="39"/>
      <c r="I16" s="39"/>
      <c r="J16" s="39"/>
      <c r="K16" s="39"/>
      <c r="L16" s="39"/>
      <c r="M16" s="39"/>
      <c r="N16" s="39"/>
      <c r="O16" s="40"/>
      <c r="P16" s="40"/>
      <c r="Q16" s="49"/>
      <c r="R16" s="49"/>
      <c r="S16" s="49"/>
      <c r="T16" s="36"/>
      <c r="U16" s="42">
        <f>T16*20000</f>
        <v>0</v>
      </c>
    </row>
    <row r="17" ht="22.5" customHeight="1">
      <c r="B17" s="12">
        <v>4.0</v>
      </c>
      <c r="C17" s="64"/>
      <c r="D17" s="98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34"/>
      <c r="P17" s="34"/>
      <c r="Q17" s="49"/>
      <c r="R17" s="49"/>
      <c r="S17" s="49"/>
      <c r="T17" s="36"/>
      <c r="U17" s="20"/>
      <c r="V17" s="21"/>
      <c r="W17" s="21"/>
      <c r="X17" s="21"/>
      <c r="Y17" s="21"/>
      <c r="Z17" s="21"/>
      <c r="AA17" s="21"/>
      <c r="AB17" s="21"/>
      <c r="AC17" s="21"/>
    </row>
    <row r="18" ht="22.5" customHeight="1">
      <c r="B18" s="28"/>
      <c r="C18" s="43" t="s">
        <v>30</v>
      </c>
      <c r="D18" s="93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P18" s="40"/>
      <c r="Q18" s="49"/>
      <c r="R18" s="49"/>
      <c r="S18" s="49"/>
      <c r="T18" s="36"/>
      <c r="U18" s="42">
        <f t="shared" ref="U18:U26" si="1">T18*20000</f>
        <v>0</v>
      </c>
    </row>
    <row r="19" ht="22.5" customHeight="1">
      <c r="B19" s="12">
        <v>5.0</v>
      </c>
      <c r="C19" s="64"/>
      <c r="D19" s="98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34"/>
      <c r="P19" s="34"/>
      <c r="Q19" s="36"/>
      <c r="R19" s="36"/>
      <c r="S19" s="36"/>
      <c r="T19" s="36"/>
      <c r="U19" s="42">
        <f t="shared" si="1"/>
        <v>0</v>
      </c>
      <c r="V19" s="21"/>
      <c r="W19" s="21"/>
      <c r="X19" s="21"/>
      <c r="Y19" s="21"/>
      <c r="Z19" s="21"/>
      <c r="AA19" s="21"/>
      <c r="AB19" s="21"/>
      <c r="AC19" s="21"/>
    </row>
    <row r="20" ht="22.5" customHeight="1">
      <c r="B20" s="28"/>
      <c r="C20" s="43" t="s">
        <v>30</v>
      </c>
      <c r="D20" s="93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40"/>
      <c r="P20" s="40"/>
      <c r="Q20" s="36"/>
      <c r="R20" s="36"/>
      <c r="S20" s="36"/>
      <c r="T20" s="36"/>
      <c r="U20" s="42">
        <f t="shared" si="1"/>
        <v>0</v>
      </c>
    </row>
    <row r="21" ht="22.5" customHeight="1">
      <c r="B21" s="12">
        <v>6.0</v>
      </c>
      <c r="C21" s="64"/>
      <c r="D21" s="98"/>
      <c r="E21" s="30"/>
      <c r="F21" s="30"/>
      <c r="G21" s="30"/>
      <c r="H21" s="30"/>
      <c r="I21" s="30"/>
      <c r="J21" s="30"/>
      <c r="K21" s="30"/>
      <c r="L21" s="30"/>
      <c r="M21" s="64"/>
      <c r="N21" s="64"/>
      <c r="O21" s="34"/>
      <c r="P21" s="34"/>
      <c r="Q21" s="36"/>
      <c r="R21" s="36"/>
      <c r="S21" s="36"/>
      <c r="T21" s="41"/>
      <c r="U21" s="42">
        <f t="shared" si="1"/>
        <v>0</v>
      </c>
      <c r="V21" s="21"/>
      <c r="W21" s="21"/>
      <c r="X21" s="21"/>
      <c r="Y21" s="21"/>
      <c r="Z21" s="21"/>
      <c r="AA21" s="21"/>
      <c r="AB21" s="21"/>
      <c r="AC21" s="21"/>
    </row>
    <row r="22" ht="22.5" customHeight="1">
      <c r="B22" s="28"/>
      <c r="C22" s="43" t="s">
        <v>30</v>
      </c>
      <c r="D22" s="93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40"/>
      <c r="P22" s="40"/>
      <c r="Q22" s="36"/>
      <c r="R22" s="36"/>
      <c r="S22" s="36"/>
      <c r="T22" s="36"/>
      <c r="U22" s="42">
        <f t="shared" si="1"/>
        <v>0</v>
      </c>
    </row>
    <row r="23" ht="22.5" customHeight="1">
      <c r="B23" s="12">
        <v>7.0</v>
      </c>
      <c r="C23" s="64"/>
      <c r="D23" s="98"/>
      <c r="E23" s="30"/>
      <c r="F23" s="30"/>
      <c r="G23" s="30"/>
      <c r="H23" s="30"/>
      <c r="I23" s="30"/>
      <c r="J23" s="30"/>
      <c r="K23" s="30"/>
      <c r="L23" s="30"/>
      <c r="M23" s="64"/>
      <c r="N23" s="64"/>
      <c r="O23" s="34"/>
      <c r="P23" s="34"/>
      <c r="Q23" s="36"/>
      <c r="R23" s="36"/>
      <c r="S23" s="36"/>
      <c r="T23" s="41"/>
      <c r="U23" s="42">
        <f t="shared" si="1"/>
        <v>0</v>
      </c>
      <c r="V23" s="21"/>
      <c r="W23" s="21"/>
      <c r="X23" s="21"/>
      <c r="Y23" s="21"/>
      <c r="Z23" s="21"/>
      <c r="AA23" s="21"/>
      <c r="AB23" s="21"/>
      <c r="AC23" s="21"/>
    </row>
    <row r="24" ht="22.5" customHeight="1">
      <c r="B24" s="28"/>
      <c r="C24" s="43" t="s">
        <v>30</v>
      </c>
      <c r="D24" s="93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0"/>
      <c r="P24" s="40"/>
      <c r="Q24" s="36"/>
      <c r="R24" s="36"/>
      <c r="S24" s="36"/>
      <c r="T24" s="36"/>
      <c r="U24" s="42">
        <f t="shared" si="1"/>
        <v>0</v>
      </c>
    </row>
    <row r="25" ht="22.5" customHeight="1">
      <c r="B25" s="12">
        <v>8.0</v>
      </c>
      <c r="C25" s="64"/>
      <c r="D25" s="98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34"/>
      <c r="P25" s="34"/>
      <c r="Q25" s="36"/>
      <c r="R25" s="36"/>
      <c r="S25" s="36"/>
      <c r="T25" s="36"/>
      <c r="U25" s="42">
        <f t="shared" si="1"/>
        <v>0</v>
      </c>
      <c r="V25" s="21"/>
      <c r="W25" s="21"/>
      <c r="X25" s="21"/>
      <c r="Y25" s="21"/>
      <c r="Z25" s="21"/>
      <c r="AA25" s="21"/>
      <c r="AB25" s="21"/>
      <c r="AC25" s="21"/>
    </row>
    <row r="26" ht="22.5" customHeight="1">
      <c r="B26" s="28"/>
      <c r="C26" s="43" t="s">
        <v>30</v>
      </c>
      <c r="D26" s="93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0"/>
      <c r="P26" s="40"/>
      <c r="Q26" s="36"/>
      <c r="R26" s="36"/>
      <c r="S26" s="36"/>
      <c r="T26" s="36"/>
      <c r="U26" s="42">
        <f t="shared" si="1"/>
        <v>0</v>
      </c>
    </row>
    <row r="27">
      <c r="A27" s="1"/>
      <c r="B27" s="30" t="s">
        <v>46</v>
      </c>
      <c r="C27" s="6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  <c r="U27" s="100">
        <v>450000.0</v>
      </c>
    </row>
    <row r="28">
      <c r="A28" s="1"/>
      <c r="B28" s="30" t="s">
        <v>47</v>
      </c>
      <c r="C28" s="6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101">
        <f>U27-(U27*0.033)</f>
        <v>435150</v>
      </c>
    </row>
    <row r="29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69"/>
      <c r="R29" s="69"/>
      <c r="S29" s="69"/>
      <c r="T29" s="69"/>
      <c r="U29" s="40"/>
    </row>
  </sheetData>
  <mergeCells count="16">
    <mergeCell ref="B12:B14"/>
    <mergeCell ref="B15:B16"/>
    <mergeCell ref="B17:B18"/>
    <mergeCell ref="B19:B20"/>
    <mergeCell ref="B21:B22"/>
    <mergeCell ref="B23:B24"/>
    <mergeCell ref="B25:B26"/>
    <mergeCell ref="C27:T27"/>
    <mergeCell ref="C28:T28"/>
    <mergeCell ref="A1:A5"/>
    <mergeCell ref="B1:P1"/>
    <mergeCell ref="D2:F2"/>
    <mergeCell ref="D3:F3"/>
    <mergeCell ref="B4:P4"/>
    <mergeCell ref="A6:A26"/>
    <mergeCell ref="B9:B1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.38"/>
    <col customWidth="1" min="2" max="2" width="9.13"/>
  </cols>
  <sheetData>
    <row r="1">
      <c r="A1" s="1"/>
      <c r="B1" s="1"/>
    </row>
    <row r="2">
      <c r="B2" s="2" t="s">
        <v>0</v>
      </c>
      <c r="C2" s="3" t="s">
        <v>1</v>
      </c>
      <c r="D2" s="4" t="s">
        <v>2</v>
      </c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B3" s="2" t="s">
        <v>3</v>
      </c>
      <c r="C3" s="8" t="s">
        <v>4</v>
      </c>
      <c r="D3" s="4" t="s">
        <v>5</v>
      </c>
      <c r="E3" s="5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B4" s="7"/>
    </row>
    <row r="5" ht="22.5" customHeight="1">
      <c r="B5" s="2"/>
      <c r="C5" s="2" t="s">
        <v>6</v>
      </c>
      <c r="D5" s="90" t="s">
        <v>107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9" t="s">
        <v>23</v>
      </c>
      <c r="R5" s="9" t="s">
        <v>24</v>
      </c>
      <c r="S5" s="9" t="s">
        <v>25</v>
      </c>
      <c r="T5" s="10" t="s">
        <v>26</v>
      </c>
      <c r="U5" s="11" t="s">
        <v>27</v>
      </c>
    </row>
    <row r="6" ht="22.5" customHeight="1">
      <c r="A6" s="1"/>
      <c r="B6" s="2">
        <v>0.0</v>
      </c>
      <c r="C6" s="30" t="s">
        <v>28</v>
      </c>
      <c r="D6" s="91">
        <v>45657.0</v>
      </c>
      <c r="E6" s="87">
        <v>45628.0</v>
      </c>
      <c r="F6" s="87">
        <v>45631.0</v>
      </c>
      <c r="G6" s="86">
        <v>45634.0</v>
      </c>
      <c r="H6" s="87">
        <v>45641.0</v>
      </c>
      <c r="I6" s="87">
        <v>45644.0</v>
      </c>
      <c r="J6" s="87">
        <v>45646.0</v>
      </c>
      <c r="K6" s="87">
        <v>45647.0</v>
      </c>
      <c r="L6" s="86">
        <v>45649.0</v>
      </c>
      <c r="M6" s="64"/>
      <c r="N6" s="64"/>
      <c r="O6" s="34"/>
      <c r="P6" s="34"/>
      <c r="Q6" s="88">
        <v>46003.0</v>
      </c>
      <c r="R6" s="36"/>
      <c r="S6" s="36"/>
      <c r="T6" s="36"/>
      <c r="U6" s="20"/>
      <c r="V6" s="21"/>
      <c r="W6" s="21"/>
      <c r="X6" s="21"/>
      <c r="Y6" s="21"/>
      <c r="Z6" s="21"/>
      <c r="AA6" s="21"/>
      <c r="AB6" s="21"/>
      <c r="AC6" s="21"/>
    </row>
    <row r="7" ht="33.75" customHeight="1">
      <c r="B7" s="2"/>
      <c r="C7" s="37" t="s">
        <v>29</v>
      </c>
      <c r="D7" s="92"/>
      <c r="E7" s="89">
        <v>2.0</v>
      </c>
      <c r="F7" s="89">
        <v>1.5</v>
      </c>
      <c r="G7" s="37">
        <v>0.0</v>
      </c>
      <c r="H7" s="89">
        <v>1.5</v>
      </c>
      <c r="I7" s="37">
        <v>2.0</v>
      </c>
      <c r="J7" s="89">
        <v>1.0</v>
      </c>
      <c r="K7" s="89">
        <v>2.0</v>
      </c>
      <c r="L7" s="37">
        <v>0.0</v>
      </c>
      <c r="M7" s="39"/>
      <c r="N7" s="39"/>
      <c r="O7" s="40"/>
      <c r="P7" s="40"/>
      <c r="Q7" s="89">
        <v>2.0</v>
      </c>
      <c r="R7" s="36"/>
      <c r="S7" s="36"/>
      <c r="T7" s="89">
        <f>SUM(D7:S7)</f>
        <v>12</v>
      </c>
      <c r="U7" s="27">
        <v>0.0</v>
      </c>
    </row>
    <row r="8" ht="33.75" customHeight="1">
      <c r="B8" s="2"/>
      <c r="C8" s="43" t="s">
        <v>30</v>
      </c>
      <c r="D8" s="93"/>
      <c r="E8" s="39"/>
      <c r="F8" s="39"/>
      <c r="G8" s="43" t="s">
        <v>31</v>
      </c>
      <c r="H8" s="39"/>
      <c r="I8" s="43" t="s">
        <v>32</v>
      </c>
      <c r="J8" s="39"/>
      <c r="K8" s="39"/>
      <c r="L8" s="43" t="s">
        <v>33</v>
      </c>
      <c r="M8" s="39"/>
      <c r="N8" s="39"/>
      <c r="O8" s="40"/>
      <c r="P8" s="40"/>
      <c r="Q8" s="89"/>
      <c r="R8" s="36"/>
      <c r="S8" s="36"/>
      <c r="T8" s="89"/>
      <c r="U8" s="20"/>
    </row>
    <row r="9" ht="22.5" customHeight="1">
      <c r="B9" s="12">
        <v>1.0</v>
      </c>
      <c r="C9" s="30" t="s">
        <v>117</v>
      </c>
      <c r="D9" s="94"/>
      <c r="E9" s="87">
        <v>45699.0</v>
      </c>
      <c r="F9" s="95"/>
      <c r="G9" s="95"/>
      <c r="H9" s="95"/>
      <c r="I9" s="95"/>
      <c r="J9" s="95"/>
      <c r="K9" s="46"/>
      <c r="L9" s="46"/>
      <c r="M9" s="46"/>
      <c r="N9" s="46"/>
      <c r="O9" s="34"/>
      <c r="P9" s="34"/>
      <c r="Q9" s="36"/>
      <c r="R9" s="36"/>
      <c r="S9" s="36"/>
      <c r="T9" s="36"/>
      <c r="U9" s="20"/>
      <c r="V9" s="21"/>
      <c r="W9" s="21"/>
      <c r="X9" s="21"/>
      <c r="Y9" s="21"/>
      <c r="Z9" s="21"/>
      <c r="AA9" s="21"/>
      <c r="AB9" s="21"/>
      <c r="AC9" s="21"/>
    </row>
    <row r="10" ht="22.5" customHeight="1">
      <c r="B10" s="22"/>
      <c r="C10" s="37" t="s">
        <v>29</v>
      </c>
      <c r="D10" s="93"/>
      <c r="E10" s="43">
        <v>1.5</v>
      </c>
      <c r="F10" s="43"/>
      <c r="G10" s="39"/>
      <c r="H10" s="39"/>
      <c r="I10" s="39"/>
      <c r="J10" s="39"/>
      <c r="K10" s="39"/>
      <c r="L10" s="39"/>
      <c r="M10" s="39"/>
      <c r="N10" s="39"/>
      <c r="O10" s="40"/>
      <c r="P10" s="40"/>
      <c r="Q10" s="36"/>
      <c r="R10" s="36"/>
      <c r="S10" s="36"/>
      <c r="T10" s="41">
        <v>1.5</v>
      </c>
      <c r="U10" s="42">
        <f>T10*30000</f>
        <v>45000</v>
      </c>
    </row>
    <row r="11" ht="22.5" customHeight="1">
      <c r="B11" s="28"/>
      <c r="C11" s="43" t="s">
        <v>30</v>
      </c>
      <c r="D11" s="93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0"/>
      <c r="P11" s="40"/>
      <c r="Q11" s="36"/>
      <c r="R11" s="36"/>
      <c r="S11" s="36"/>
      <c r="T11" s="36"/>
      <c r="U11" s="20"/>
    </row>
    <row r="12" ht="22.5" customHeight="1">
      <c r="B12" s="12">
        <v>2.0</v>
      </c>
      <c r="C12" s="30" t="s">
        <v>110</v>
      </c>
      <c r="D12" s="94"/>
      <c r="E12" s="14">
        <v>45709.0</v>
      </c>
      <c r="F12" s="14">
        <v>45716.0</v>
      </c>
      <c r="G12" s="14"/>
      <c r="H12" s="87"/>
      <c r="I12" s="46"/>
      <c r="J12" s="46"/>
      <c r="K12" s="46"/>
      <c r="L12" s="64"/>
      <c r="M12" s="64"/>
      <c r="N12" s="64"/>
      <c r="O12" s="34"/>
      <c r="P12" s="34"/>
      <c r="Q12" s="36"/>
      <c r="R12" s="36"/>
      <c r="S12" s="36"/>
      <c r="T12" s="36"/>
      <c r="U12" s="42">
        <f>T12*20000</f>
        <v>0</v>
      </c>
      <c r="V12" s="21"/>
      <c r="W12" s="21"/>
      <c r="X12" s="21"/>
      <c r="Y12" s="21"/>
      <c r="Z12" s="21"/>
      <c r="AA12" s="21"/>
      <c r="AB12" s="21"/>
      <c r="AC12" s="21"/>
    </row>
    <row r="13" ht="22.5" customHeight="1">
      <c r="B13" s="22"/>
      <c r="C13" s="37" t="s">
        <v>29</v>
      </c>
      <c r="D13" s="93"/>
      <c r="E13" s="43">
        <v>1.5</v>
      </c>
      <c r="F13" s="43">
        <v>1.5</v>
      </c>
      <c r="G13" s="43"/>
      <c r="H13" s="43"/>
      <c r="I13" s="39"/>
      <c r="J13" s="39"/>
      <c r="K13" s="39"/>
      <c r="L13" s="39"/>
      <c r="M13" s="39"/>
      <c r="N13" s="39"/>
      <c r="O13" s="40"/>
      <c r="P13" s="40"/>
      <c r="Q13" s="36"/>
      <c r="R13" s="36"/>
      <c r="S13" s="36"/>
      <c r="T13" s="41">
        <v>3.0</v>
      </c>
      <c r="U13" s="42">
        <f>T13*30000</f>
        <v>90000</v>
      </c>
    </row>
    <row r="14" ht="22.5" customHeight="1">
      <c r="B14" s="28"/>
      <c r="C14" s="43" t="s">
        <v>30</v>
      </c>
      <c r="D14" s="93"/>
      <c r="E14" s="43"/>
      <c r="F14" s="39"/>
      <c r="G14" s="39"/>
      <c r="H14" s="43"/>
      <c r="I14" s="39"/>
      <c r="J14" s="39"/>
      <c r="K14" s="39"/>
      <c r="L14" s="39"/>
      <c r="M14" s="39"/>
      <c r="N14" s="39"/>
      <c r="O14" s="40"/>
      <c r="P14" s="40"/>
      <c r="Q14" s="36"/>
      <c r="R14" s="36"/>
      <c r="S14" s="36"/>
      <c r="T14" s="36"/>
      <c r="U14" s="42">
        <f>T14*20000</f>
        <v>0</v>
      </c>
    </row>
    <row r="15" ht="22.5" customHeight="1">
      <c r="B15" s="12">
        <v>3.0</v>
      </c>
      <c r="C15" s="30"/>
      <c r="D15" s="96"/>
      <c r="E15" s="99"/>
      <c r="F15" s="99"/>
      <c r="G15" s="99"/>
      <c r="H15" s="95"/>
      <c r="I15" s="87"/>
      <c r="J15" s="46"/>
      <c r="K15" s="46"/>
      <c r="L15" s="46"/>
      <c r="M15" s="46"/>
      <c r="N15" s="46"/>
      <c r="O15" s="34"/>
      <c r="P15" s="34"/>
      <c r="Q15" s="36"/>
      <c r="R15" s="36"/>
      <c r="S15" s="36"/>
      <c r="T15" s="36"/>
      <c r="U15" s="20"/>
      <c r="V15" s="21"/>
      <c r="W15" s="21"/>
      <c r="X15" s="21"/>
      <c r="Y15" s="21"/>
      <c r="Z15" s="21"/>
      <c r="AA15" s="21"/>
      <c r="AB15" s="21"/>
      <c r="AC15" s="21"/>
    </row>
    <row r="16" ht="22.5" customHeight="1">
      <c r="B16" s="28"/>
      <c r="C16" s="43" t="s">
        <v>30</v>
      </c>
      <c r="D16" s="97"/>
      <c r="E16" s="43"/>
      <c r="F16" s="39"/>
      <c r="G16" s="43"/>
      <c r="H16" s="39"/>
      <c r="I16" s="39"/>
      <c r="J16" s="39"/>
      <c r="K16" s="39"/>
      <c r="L16" s="39"/>
      <c r="M16" s="39"/>
      <c r="N16" s="39"/>
      <c r="O16" s="40"/>
      <c r="P16" s="40"/>
      <c r="Q16" s="49"/>
      <c r="R16" s="49"/>
      <c r="S16" s="49"/>
      <c r="T16" s="36"/>
      <c r="U16" s="42">
        <f>T16*20000</f>
        <v>0</v>
      </c>
    </row>
    <row r="17" ht="22.5" customHeight="1">
      <c r="B17" s="12">
        <v>4.0</v>
      </c>
      <c r="C17" s="64"/>
      <c r="D17" s="98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34"/>
      <c r="P17" s="34"/>
      <c r="Q17" s="49"/>
      <c r="R17" s="49"/>
      <c r="S17" s="49"/>
      <c r="T17" s="36"/>
      <c r="U17" s="20"/>
      <c r="V17" s="21"/>
      <c r="W17" s="21"/>
      <c r="X17" s="21"/>
      <c r="Y17" s="21"/>
      <c r="Z17" s="21"/>
      <c r="AA17" s="21"/>
      <c r="AB17" s="21"/>
      <c r="AC17" s="21"/>
    </row>
    <row r="18" ht="22.5" customHeight="1">
      <c r="B18" s="28"/>
      <c r="C18" s="43" t="s">
        <v>30</v>
      </c>
      <c r="D18" s="93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P18" s="40"/>
      <c r="Q18" s="49"/>
      <c r="R18" s="49"/>
      <c r="S18" s="49"/>
      <c r="T18" s="36"/>
      <c r="U18" s="42">
        <f t="shared" ref="U18:U26" si="1">T18*20000</f>
        <v>0</v>
      </c>
    </row>
    <row r="19" ht="22.5" customHeight="1">
      <c r="B19" s="12">
        <v>5.0</v>
      </c>
      <c r="C19" s="64"/>
      <c r="D19" s="98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34"/>
      <c r="P19" s="34"/>
      <c r="Q19" s="36"/>
      <c r="R19" s="36"/>
      <c r="S19" s="36"/>
      <c r="T19" s="36"/>
      <c r="U19" s="42">
        <f t="shared" si="1"/>
        <v>0</v>
      </c>
      <c r="V19" s="21"/>
      <c r="W19" s="21"/>
      <c r="X19" s="21"/>
      <c r="Y19" s="21"/>
      <c r="Z19" s="21"/>
      <c r="AA19" s="21"/>
      <c r="AB19" s="21"/>
      <c r="AC19" s="21"/>
    </row>
    <row r="20" ht="22.5" customHeight="1">
      <c r="B20" s="28"/>
      <c r="C20" s="43" t="s">
        <v>30</v>
      </c>
      <c r="D20" s="93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40"/>
      <c r="P20" s="40"/>
      <c r="Q20" s="36"/>
      <c r="R20" s="36"/>
      <c r="S20" s="36"/>
      <c r="T20" s="36"/>
      <c r="U20" s="42">
        <f t="shared" si="1"/>
        <v>0</v>
      </c>
    </row>
    <row r="21" ht="22.5" customHeight="1">
      <c r="B21" s="12">
        <v>6.0</v>
      </c>
      <c r="C21" s="64"/>
      <c r="D21" s="98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34"/>
      <c r="P21" s="34"/>
      <c r="Q21" s="36"/>
      <c r="R21" s="36"/>
      <c r="S21" s="36"/>
      <c r="T21" s="36"/>
      <c r="U21" s="42">
        <f t="shared" si="1"/>
        <v>0</v>
      </c>
      <c r="V21" s="21"/>
      <c r="W21" s="21"/>
      <c r="X21" s="21"/>
      <c r="Y21" s="21"/>
      <c r="Z21" s="21"/>
      <c r="AA21" s="21"/>
      <c r="AB21" s="21"/>
      <c r="AC21" s="21"/>
    </row>
    <row r="22" ht="22.5" customHeight="1">
      <c r="B22" s="28"/>
      <c r="C22" s="43" t="s">
        <v>30</v>
      </c>
      <c r="D22" s="93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40"/>
      <c r="P22" s="40"/>
      <c r="Q22" s="36"/>
      <c r="R22" s="36"/>
      <c r="S22" s="36"/>
      <c r="T22" s="36"/>
      <c r="U22" s="42">
        <f t="shared" si="1"/>
        <v>0</v>
      </c>
    </row>
    <row r="23" ht="22.5" customHeight="1">
      <c r="B23" s="12">
        <v>7.0</v>
      </c>
      <c r="C23" s="64"/>
      <c r="D23" s="98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34"/>
      <c r="P23" s="34"/>
      <c r="Q23" s="36"/>
      <c r="R23" s="36"/>
      <c r="S23" s="36"/>
      <c r="T23" s="36"/>
      <c r="U23" s="42">
        <f t="shared" si="1"/>
        <v>0</v>
      </c>
      <c r="V23" s="21"/>
      <c r="W23" s="21"/>
      <c r="X23" s="21"/>
      <c r="Y23" s="21"/>
      <c r="Z23" s="21"/>
      <c r="AA23" s="21"/>
      <c r="AB23" s="21"/>
      <c r="AC23" s="21"/>
    </row>
    <row r="24" ht="22.5" customHeight="1">
      <c r="B24" s="28"/>
      <c r="C24" s="43" t="s">
        <v>30</v>
      </c>
      <c r="D24" s="93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0"/>
      <c r="P24" s="40"/>
      <c r="Q24" s="36"/>
      <c r="R24" s="36"/>
      <c r="S24" s="36"/>
      <c r="T24" s="36"/>
      <c r="U24" s="42">
        <f t="shared" si="1"/>
        <v>0</v>
      </c>
    </row>
    <row r="25" ht="22.5" customHeight="1">
      <c r="B25" s="12">
        <v>8.0</v>
      </c>
      <c r="C25" s="64"/>
      <c r="D25" s="98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34"/>
      <c r="P25" s="34"/>
      <c r="Q25" s="36"/>
      <c r="R25" s="36"/>
      <c r="S25" s="36"/>
      <c r="T25" s="36"/>
      <c r="U25" s="42">
        <f t="shared" si="1"/>
        <v>0</v>
      </c>
      <c r="V25" s="21"/>
      <c r="W25" s="21"/>
      <c r="X25" s="21"/>
      <c r="Y25" s="21"/>
      <c r="Z25" s="21"/>
      <c r="AA25" s="21"/>
      <c r="AB25" s="21"/>
      <c r="AC25" s="21"/>
    </row>
    <row r="26" ht="22.5" customHeight="1">
      <c r="B26" s="28"/>
      <c r="C26" s="43" t="s">
        <v>30</v>
      </c>
      <c r="D26" s="93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0"/>
      <c r="P26" s="40"/>
      <c r="Q26" s="36"/>
      <c r="R26" s="36"/>
      <c r="S26" s="36"/>
      <c r="T26" s="36"/>
      <c r="U26" s="42">
        <f t="shared" si="1"/>
        <v>0</v>
      </c>
    </row>
    <row r="27">
      <c r="A27" s="1"/>
      <c r="B27" s="30" t="s">
        <v>46</v>
      </c>
      <c r="C27" s="6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  <c r="U27" s="68">
        <f>SUM(U6:U26)</f>
        <v>135000</v>
      </c>
    </row>
    <row r="28">
      <c r="A28" s="1"/>
      <c r="B28" s="30" t="s">
        <v>47</v>
      </c>
      <c r="C28" s="6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68">
        <f>U27-(U27*0.033)</f>
        <v>130545</v>
      </c>
    </row>
    <row r="29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69"/>
      <c r="R29" s="69"/>
      <c r="S29" s="69"/>
      <c r="T29" s="69"/>
      <c r="U29" s="40"/>
    </row>
  </sheetData>
  <mergeCells count="16">
    <mergeCell ref="B12:B14"/>
    <mergeCell ref="B15:B16"/>
    <mergeCell ref="B17:B18"/>
    <mergeCell ref="B19:B20"/>
    <mergeCell ref="B21:B22"/>
    <mergeCell ref="B23:B24"/>
    <mergeCell ref="B25:B26"/>
    <mergeCell ref="C27:T27"/>
    <mergeCell ref="C28:T28"/>
    <mergeCell ref="A1:A5"/>
    <mergeCell ref="B1:P1"/>
    <mergeCell ref="D2:F2"/>
    <mergeCell ref="D3:F3"/>
    <mergeCell ref="B4:P4"/>
    <mergeCell ref="A6:A26"/>
    <mergeCell ref="B9:B11"/>
  </mergeCells>
  <drawing r:id="rId1"/>
</worksheet>
</file>